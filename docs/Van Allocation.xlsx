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limitedcouk.sharepoint.com/sites/MobileTechFleetSupport-StockControl/Shared Documents/Stock Control/Programme Coding/"/>
    </mc:Choice>
  </mc:AlternateContent>
  <xr:revisionPtr revIDLastSave="0" documentId="8_{BDDB4A8E-89AE-4ED8-905B-0EB8586CF8D5}" xr6:coauthVersionLast="47" xr6:coauthVersionMax="47" xr10:uidLastSave="{00000000-0000-0000-0000-000000000000}"/>
  <bookViews>
    <workbookView xWindow="-28920" yWindow="3285" windowWidth="29040" windowHeight="15720" xr2:uid="{3A9F64EF-7C32-4822-A103-E59703A34D92}"/>
  </bookViews>
  <sheets>
    <sheet name="CAL" sheetId="3" r:id="rId1"/>
    <sheet name="Vacancies" sheetId="8" r:id="rId2"/>
    <sheet name="Fleet check Driver log" sheetId="6" r:id="rId3"/>
  </sheets>
  <externalReferences>
    <externalReference r:id="rId4"/>
  </externalReferences>
  <definedNames>
    <definedName name="_xlnm._FilterDatabase" localSheetId="1" hidden="1">Vacancies!$A$1:$K$24</definedName>
    <definedName name="ExternalData_2" localSheetId="0" hidden="1">'CAL'!$A$1:$F$260</definedName>
    <definedName name="ExternalData_3" localSheetId="2" hidden="1">'Fleet check Driver log'!$A$1:$C$245</definedName>
    <definedName name="rlow">Vacancies!#REF!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6" i="3" l="1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H3" i="3"/>
  <c r="H4" i="3"/>
  <c r="H5" i="3"/>
  <c r="H6" i="3"/>
  <c r="H7" i="3"/>
  <c r="H8" i="3"/>
  <c r="H9" i="3"/>
  <c r="H260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2" i="3"/>
  <c r="K3" i="3"/>
  <c r="K4" i="3"/>
  <c r="K5" i="3"/>
  <c r="K6" i="3"/>
  <c r="K7" i="3"/>
  <c r="K8" i="3"/>
  <c r="K9" i="3"/>
  <c r="K26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D5B61-9A99-4884-BD4D-ABB1AF088308}" keepAlive="1" name="Query - CAL" description="Connection to the 'CAL' query in the workbook." type="5" refreshedVersion="0" background="1">
    <dbPr connection="Provider=Microsoft.Mashup.OleDb.1;Data Source=$Workbook$;Location=CAL;Extended Properties=&quot;&quot;" command="SELECT * FROM [CAL]"/>
  </connection>
  <connection id="2" xr16:uid="{2CA813C1-D144-4520-83DE-8A8481AE6866}" keepAlive="1" name="Query - CAL1" description="Connection to the 'CAL' query in the workbook." type="5" refreshedVersion="8" background="1" saveData="1">
    <dbPr connection="Provider=Microsoft.Mashup.OleDb.1;Data Source=$Workbook$;Location=CAL;Extended Properties=&quot;&quot;" command="SELECT * FROM [CAL]"/>
  </connection>
  <connection id="3" xr16:uid="{27C0217D-A259-4B69-AAE7-ADE63F8EE868}" keepAlive="1" name="Query - Fleet check Driver log" description="Connection to the 'Fleet check Driver log' query in the workbook." type="5" refreshedVersion="8" background="1" saveData="1">
    <dbPr connection="Provider=Microsoft.Mashup.OleDb.1;Data Source=$Workbook$;Location=&quot;Fleet check Driver log&quot;;Extended Properties=&quot;&quot;" command="SELECT * FROM [Fleet check Driver log]"/>
  </connection>
  <connection id="4" xr16:uid="{56B04592-4340-492F-B9D9-342E0871E8D5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  <connection id="5" xr16:uid="{C472C0A0-724E-4D59-AD4E-2615A17DFC42}" keepAlive="1" name="Query - User" description="Connection to the 'User' query in the workbook." type="5" refreshedVersion="8" background="1" saveData="1">
    <dbPr connection="Provider=Microsoft.Mashup.OleDb.1;Data Source=$Workbook$;Location=User;Extended Properties=&quot;&quot;" command="SELECT * FROM [User]"/>
  </connection>
  <connection id="6" xr16:uid="{13E41455-5E8F-4084-AC78-99925ADC706C}" keepAlive="1" name="Query - VOR" description="Connection to the 'VOR' query in the workbook." type="5" refreshedVersion="0" background="1" saveData="1">
    <dbPr connection="Provider=Microsoft.Mashup.OleDb.1;Data Source=$Workbook$;Location=VOR;Extended Properties=&quot;&quot;" command="SELECT * FROM [VOR]"/>
  </connection>
</connections>
</file>

<file path=xl/sharedStrings.xml><?xml version="1.0" encoding="utf-8"?>
<sst xmlns="http://schemas.openxmlformats.org/spreadsheetml/2006/main" count="2139" uniqueCount="814">
  <si>
    <t>MROM</t>
  </si>
  <si>
    <t>Van No</t>
  </si>
  <si>
    <t>Registration</t>
  </si>
  <si>
    <t>Allocated Tech</t>
  </si>
  <si>
    <t>Fleet check Driver logged in</t>
  </si>
  <si>
    <t>VOR</t>
  </si>
  <si>
    <t>Allocate to Trainee</t>
  </si>
  <si>
    <t>Allocted &amp; Login Match</t>
  </si>
  <si>
    <t>Column1</t>
  </si>
  <si>
    <t>Column2</t>
  </si>
  <si>
    <t>Column3</t>
  </si>
  <si>
    <t>Aidan Neeson</t>
  </si>
  <si>
    <t>MF75DSO</t>
  </si>
  <si>
    <t>SHANE GRAHAM</t>
  </si>
  <si>
    <t>Shane Graham</t>
  </si>
  <si>
    <t>Ok</t>
  </si>
  <si>
    <t>LN74AJV</t>
  </si>
  <si>
    <t>JOHNNY SMYTH</t>
  </si>
  <si>
    <t>Jonathan Smyth</t>
  </si>
  <si>
    <t>LN74AKJ</t>
  </si>
  <si>
    <t>STEVEN MONAGHAN</t>
  </si>
  <si>
    <t>James Monaghan</t>
  </si>
  <si>
    <t>LN24UPY</t>
  </si>
  <si>
    <t xml:space="preserve">SPARE VAN </t>
  </si>
  <si>
    <t>Jeremy Miller</t>
  </si>
  <si>
    <t>KY23MFX</t>
  </si>
  <si>
    <t>CARL WHITESIDE</t>
  </si>
  <si>
    <t>LN24VBP</t>
  </si>
  <si>
    <t>JAMIE EDGE</t>
  </si>
  <si>
    <t>Rafal Golda</t>
  </si>
  <si>
    <t>SF24RZM</t>
  </si>
  <si>
    <t>JAVIER DIAZ</t>
  </si>
  <si>
    <t>Aurelio Gonzalez-Diaz</t>
  </si>
  <si>
    <t>NU22OHG</t>
  </si>
  <si>
    <t>SPARE VAN</t>
  </si>
  <si>
    <t>Matt Hirst</t>
  </si>
  <si>
    <t>KS75EYZ</t>
  </si>
  <si>
    <t>DAVID MARCINIAK</t>
  </si>
  <si>
    <t>David Marciniak</t>
  </si>
  <si>
    <t>KS75EYB</t>
  </si>
  <si>
    <t>ADAM MARLOW/JAKE DAVIES</t>
  </si>
  <si>
    <t>Jake Davies</t>
  </si>
  <si>
    <t>KS75EYY</t>
  </si>
  <si>
    <t>JOHN MILLAR</t>
  </si>
  <si>
    <t>John Millar</t>
  </si>
  <si>
    <t>KS75EYK</t>
  </si>
  <si>
    <t>MARK PRATT</t>
  </si>
  <si>
    <t>Mark Pratt</t>
  </si>
  <si>
    <t>LK74ZPN</t>
  </si>
  <si>
    <t>GARY WILSHER</t>
  </si>
  <si>
    <t>Jon Willsher</t>
  </si>
  <si>
    <t>KS26UFT</t>
  </si>
  <si>
    <t>KS26UFV</t>
  </si>
  <si>
    <t>NV22DFJ</t>
  </si>
  <si>
    <t>JOSEPH SAMBY</t>
  </si>
  <si>
    <t>Joseph Samby</t>
  </si>
  <si>
    <t>SF24RZT</t>
  </si>
  <si>
    <t>PETER SIMON</t>
  </si>
  <si>
    <t>Temucin Jengiz</t>
  </si>
  <si>
    <t>SF24RZV</t>
  </si>
  <si>
    <t>CALLUM TOWNSEND</t>
  </si>
  <si>
    <t>Callum Townsend</t>
  </si>
  <si>
    <t>SF24RZX</t>
  </si>
  <si>
    <t>CAMERON SMITH</t>
  </si>
  <si>
    <t>Cameron Smith</t>
  </si>
  <si>
    <t>NV22DFY</t>
  </si>
  <si>
    <t>Nathan Thomson</t>
  </si>
  <si>
    <t>KS75EYD</t>
  </si>
  <si>
    <t>DAVID RAE</t>
  </si>
  <si>
    <t>David Rae</t>
  </si>
  <si>
    <t>SF24RZE</t>
  </si>
  <si>
    <t>JOSHUA FORBES</t>
  </si>
  <si>
    <t>Rhys Williams</t>
  </si>
  <si>
    <t>SF24RZU</t>
  </si>
  <si>
    <t>STEVEN MORGAN</t>
  </si>
  <si>
    <t>Steven Morgan</t>
  </si>
  <si>
    <t>LN74AMX</t>
  </si>
  <si>
    <t>MITCHELL EVEREST</t>
  </si>
  <si>
    <t>Mitchell Everest</t>
  </si>
  <si>
    <t>KS75EYL</t>
  </si>
  <si>
    <t>PAUL BATTEN</t>
  </si>
  <si>
    <t>Timothy Batten</t>
  </si>
  <si>
    <t>LN74AKP</t>
  </si>
  <si>
    <t>JOE BACON</t>
  </si>
  <si>
    <t>Joe Bacon</t>
  </si>
  <si>
    <t>LN74AKK</t>
  </si>
  <si>
    <t>SHAUN RANSOME</t>
  </si>
  <si>
    <t>Shaun Ransome</t>
  </si>
  <si>
    <t>LN74AKF</t>
  </si>
  <si>
    <t>JACK RUDELHOFF</t>
  </si>
  <si>
    <t>Jack Rudelhoff</t>
  </si>
  <si>
    <t>LN24VBM</t>
  </si>
  <si>
    <t>RYAN WOOD</t>
  </si>
  <si>
    <t>Ryan Wood</t>
  </si>
  <si>
    <t>KY23MHE</t>
  </si>
  <si>
    <t>JAMIE CULLEN</t>
  </si>
  <si>
    <t>Jamie Cullen</t>
  </si>
  <si>
    <t>LN24UPV</t>
  </si>
  <si>
    <t>EMMANUEL MOYO</t>
  </si>
  <si>
    <t>Emmanuel Moyo</t>
  </si>
  <si>
    <t>LK74ZPV</t>
  </si>
  <si>
    <t>JORDAN GODFREY</t>
  </si>
  <si>
    <t>KY23MHN</t>
  </si>
  <si>
    <t>THOMAS OLDHAM</t>
  </si>
  <si>
    <t>LK74ZPU</t>
  </si>
  <si>
    <t>KIERAN WEBSTER</t>
  </si>
  <si>
    <t>Kieran Webster</t>
  </si>
  <si>
    <t>LK74ZPT</t>
  </si>
  <si>
    <t>GEORGE CHADWICK</t>
  </si>
  <si>
    <t>George Chadwick</t>
  </si>
  <si>
    <t>KY23MHX</t>
  </si>
  <si>
    <t>TEMUCIN JENGIZ/KURSHED AHMED</t>
  </si>
  <si>
    <t>LK74ZPS</t>
  </si>
  <si>
    <t>TONY ROBERTS/JOSH BROWN</t>
  </si>
  <si>
    <t>Tony Roberts</t>
  </si>
  <si>
    <t>LK74ZPP</t>
  </si>
  <si>
    <t>SIMON GOUGH</t>
  </si>
  <si>
    <t>Simon Gough</t>
  </si>
  <si>
    <t>LK74ZHY</t>
  </si>
  <si>
    <t>ROBBIE GODDEN</t>
  </si>
  <si>
    <t>Robbie Godden</t>
  </si>
  <si>
    <t>LK74ZPO</t>
  </si>
  <si>
    <t>STEFAN NOYELLE</t>
  </si>
  <si>
    <t>Stefan Noyelle</t>
  </si>
  <si>
    <t>KR25WVO</t>
  </si>
  <si>
    <t>CIARAN MCGARRY/JOSH COLLINS</t>
  </si>
  <si>
    <t>Ciaran Mcgarry</t>
  </si>
  <si>
    <t>LN74AOB</t>
  </si>
  <si>
    <t>KEVIN ROBINSON</t>
  </si>
  <si>
    <t>Kevin Robinson</t>
  </si>
  <si>
    <t>KU26XSM</t>
  </si>
  <si>
    <t>LEE OSTLER</t>
  </si>
  <si>
    <t>Lee Ostler</t>
  </si>
  <si>
    <t>MF75DLZ</t>
  </si>
  <si>
    <t>WILLIAM LAWTON</t>
  </si>
  <si>
    <t>William Lawton</t>
  </si>
  <si>
    <t>KS75EYM</t>
  </si>
  <si>
    <t>BRADLEY LEWIS</t>
  </si>
  <si>
    <t>Bradley Lewis</t>
  </si>
  <si>
    <t>LK74ZLN</t>
  </si>
  <si>
    <t>ANTHONY DAURNHIME</t>
  </si>
  <si>
    <t>Anthony Daurnhime</t>
  </si>
  <si>
    <t>KS75EYR</t>
  </si>
  <si>
    <t>JAMES KENNEDY</t>
  </si>
  <si>
    <t>James Kennedy</t>
  </si>
  <si>
    <t>SF24RZC</t>
  </si>
  <si>
    <t>CHARLES RACKHAM</t>
  </si>
  <si>
    <t>Charles Rackham</t>
  </si>
  <si>
    <t>LN74AOE</t>
  </si>
  <si>
    <t>NEIL WHEATLEY/HABIBULLAH ECKBURALLY</t>
  </si>
  <si>
    <t>Habibullah Eckburally</t>
  </si>
  <si>
    <t>KS75EYW</t>
  </si>
  <si>
    <t>PAUL THOMPSON</t>
  </si>
  <si>
    <t>Paul Thompson</t>
  </si>
  <si>
    <t>NU22WBT</t>
  </si>
  <si>
    <t>SPARE VAN LAS</t>
  </si>
  <si>
    <t>KS75EYX</t>
  </si>
  <si>
    <t>SAMUEL BARNES</t>
  </si>
  <si>
    <t>Samuel Barnes</t>
  </si>
  <si>
    <t>SF24RYY</t>
  </si>
  <si>
    <t>LIAM DEAN</t>
  </si>
  <si>
    <t>Liam Dean</t>
  </si>
  <si>
    <t>NU22WBO</t>
  </si>
  <si>
    <t>KALVIN INGRAM</t>
  </si>
  <si>
    <t>Kalvin Ingram</t>
  </si>
  <si>
    <t>NU22OJD</t>
  </si>
  <si>
    <t>BEN FROST</t>
  </si>
  <si>
    <t>NU22OHN</t>
  </si>
  <si>
    <t>Thomas Oldham</t>
  </si>
  <si>
    <t>MF75DUA</t>
  </si>
  <si>
    <t>GEORGE INGRAM</t>
  </si>
  <si>
    <t>George Ingram</t>
  </si>
  <si>
    <t>MF75DTV</t>
  </si>
  <si>
    <t>ASHLEY McMANN</t>
  </si>
  <si>
    <t>Ashley Macman</t>
  </si>
  <si>
    <t>MF75DTO</t>
  </si>
  <si>
    <t>MEDET YETIK</t>
  </si>
  <si>
    <t>Medet Yetik</t>
  </si>
  <si>
    <t>MF75DSV</t>
  </si>
  <si>
    <t>SCOTT HOWE</t>
  </si>
  <si>
    <t>Scott Howe</t>
  </si>
  <si>
    <t>NU22WBP</t>
  </si>
  <si>
    <t>COLIN MURIE</t>
  </si>
  <si>
    <t>Colin Murie</t>
  </si>
  <si>
    <t>Peter Collins</t>
  </si>
  <si>
    <t>KY23MHM</t>
  </si>
  <si>
    <t>NATHAN GILL</t>
  </si>
  <si>
    <t>Nathan Gill</t>
  </si>
  <si>
    <t>NV22DFN</t>
  </si>
  <si>
    <t>DANNY GILMOUR-REID</t>
  </si>
  <si>
    <t>LK74ZKG</t>
  </si>
  <si>
    <t>MATT DANIELS</t>
  </si>
  <si>
    <t>Matthew Daniels</t>
  </si>
  <si>
    <t>LK74ZJN</t>
  </si>
  <si>
    <t xml:space="preserve">JOHN BISLAND </t>
  </si>
  <si>
    <t>John Bisland</t>
  </si>
  <si>
    <t>LN74AKX</t>
  </si>
  <si>
    <t>NICK PEARSON</t>
  </si>
  <si>
    <t>Nick Pearson</t>
  </si>
  <si>
    <t>LN24UNB</t>
  </si>
  <si>
    <t>JOHN PATERSON</t>
  </si>
  <si>
    <t>Daniel Gilmour-Reid</t>
  </si>
  <si>
    <t>KY23MGO</t>
  </si>
  <si>
    <t>GARRY MORRISON</t>
  </si>
  <si>
    <t>Garry Morrison</t>
  </si>
  <si>
    <t>MF75DTY</t>
  </si>
  <si>
    <t>REECE ORROCK</t>
  </si>
  <si>
    <t>Reece Orrock</t>
  </si>
  <si>
    <t>KY23MJF</t>
  </si>
  <si>
    <t>BEN TOWNSLEY</t>
  </si>
  <si>
    <t>Ross Mackenzie</t>
  </si>
  <si>
    <t>KY23MHK</t>
  </si>
  <si>
    <t>CONNOR BAILLIE</t>
  </si>
  <si>
    <t>Connor Baillie</t>
  </si>
  <si>
    <t>KY23MHU</t>
  </si>
  <si>
    <t>KODIEGH RUST</t>
  </si>
  <si>
    <t>Kodeigh Rust</t>
  </si>
  <si>
    <t>KU26XSP</t>
  </si>
  <si>
    <t>MARK ARMSTRONG</t>
  </si>
  <si>
    <t>Mark Armstrong</t>
  </si>
  <si>
    <t>MF75DTX</t>
  </si>
  <si>
    <t>CONNOR PATERSON</t>
  </si>
  <si>
    <t>Connor Paterson</t>
  </si>
  <si>
    <t>KU26XSV</t>
  </si>
  <si>
    <t>PHIL RALLEY</t>
  </si>
  <si>
    <t>Philip Ralley</t>
  </si>
  <si>
    <t>KU26XSR</t>
  </si>
  <si>
    <t>CALLUM SHEPPARD</t>
  </si>
  <si>
    <t>Callum Sheppard</t>
  </si>
  <si>
    <t>NV22DFL</t>
  </si>
  <si>
    <t>DAVID SIMPSON</t>
  </si>
  <si>
    <t>David Simpson</t>
  </si>
  <si>
    <t>LN74AMO</t>
  </si>
  <si>
    <t>Dylan Hossack</t>
  </si>
  <si>
    <t>LN74AOD</t>
  </si>
  <si>
    <t>PAUL SMITH</t>
  </si>
  <si>
    <t>MF75DLX</t>
  </si>
  <si>
    <t>DANIEL MERCER</t>
  </si>
  <si>
    <t>Daniel Mercer</t>
  </si>
  <si>
    <t>NU22OHJ</t>
  </si>
  <si>
    <t>JACOB EMERY</t>
  </si>
  <si>
    <t>Jacob Emery</t>
  </si>
  <si>
    <t>LN74AJU</t>
  </si>
  <si>
    <t>JIM BAILLIE</t>
  </si>
  <si>
    <t>James Baillie</t>
  </si>
  <si>
    <t>KS26UFU</t>
  </si>
  <si>
    <t>SF24RZL</t>
  </si>
  <si>
    <t>JAMES PATTERSON</t>
  </si>
  <si>
    <t>James Patterson</t>
  </si>
  <si>
    <t>LK74ZKJ</t>
  </si>
  <si>
    <t>SCOTT MCGREGOR/DALE HORN</t>
  </si>
  <si>
    <t>Scott Mcgregor</t>
  </si>
  <si>
    <t>KS26UFB</t>
  </si>
  <si>
    <t>KS26UFC</t>
  </si>
  <si>
    <t>MW25ONZ</t>
  </si>
  <si>
    <t>JAMES RIDDEL</t>
  </si>
  <si>
    <t>Lee Mason</t>
  </si>
  <si>
    <t>KU26XSX</t>
  </si>
  <si>
    <t>ALAN WOODWARD</t>
  </si>
  <si>
    <t>Alan Woodward</t>
  </si>
  <si>
    <t>NV22DFF</t>
  </si>
  <si>
    <t>TOMMY COWAN</t>
  </si>
  <si>
    <t>Tommy Cowan</t>
  </si>
  <si>
    <t>MF75DMZ</t>
  </si>
  <si>
    <t>LEE MASON</t>
  </si>
  <si>
    <t>NV22DFC</t>
  </si>
  <si>
    <t>MICHAEL BOYLE</t>
  </si>
  <si>
    <t>NU22OHO</t>
  </si>
  <si>
    <t>SPARE VAN NOR</t>
  </si>
  <si>
    <t>KU26XSJ</t>
  </si>
  <si>
    <t>DAVID SLOSS</t>
  </si>
  <si>
    <t>David Sloss</t>
  </si>
  <si>
    <t>NU22OJM</t>
  </si>
  <si>
    <t>KS75EYU</t>
  </si>
  <si>
    <t>CHRIS DOWSE/JASON BURR</t>
  </si>
  <si>
    <t>Christopher Dowse</t>
  </si>
  <si>
    <t>Steve Bennett</t>
  </si>
  <si>
    <t>LN24UPT</t>
  </si>
  <si>
    <t>GARRY WILLIAMS</t>
  </si>
  <si>
    <t>David Williams</t>
  </si>
  <si>
    <t>LK74ZLE</t>
  </si>
  <si>
    <t>GETHIN OLIVER</t>
  </si>
  <si>
    <t>Gethin Oliver</t>
  </si>
  <si>
    <t>SF24RZG</t>
  </si>
  <si>
    <t>ALEX ARGYROS</t>
  </si>
  <si>
    <t>Alexandros Argyros</t>
  </si>
  <si>
    <t>SF24RZR</t>
  </si>
  <si>
    <t>OLIVER KEMPTON</t>
  </si>
  <si>
    <t>Oliver Kempton</t>
  </si>
  <si>
    <t>NU22OJJ</t>
  </si>
  <si>
    <t>SPARE VAN SAW</t>
  </si>
  <si>
    <t>KY23LZK</t>
  </si>
  <si>
    <t>ANDY GRAY</t>
  </si>
  <si>
    <t>Andrew Gray</t>
  </si>
  <si>
    <t>KY23MFU</t>
  </si>
  <si>
    <t>ROB SCOTT</t>
  </si>
  <si>
    <t>Robert Scott</t>
  </si>
  <si>
    <t>LM74HYA</t>
  </si>
  <si>
    <t>SIMON WOODRUF</t>
  </si>
  <si>
    <t>Simon Woodruff</t>
  </si>
  <si>
    <t>SF24RZY</t>
  </si>
  <si>
    <t>JONATHAN HART</t>
  </si>
  <si>
    <t>Jonathan Hart</t>
  </si>
  <si>
    <t>KY23MFZ</t>
  </si>
  <si>
    <t>MICK KEEN</t>
  </si>
  <si>
    <t>KY23MJE</t>
  </si>
  <si>
    <t>CARL PITSON</t>
  </si>
  <si>
    <t>Carl Pitson</t>
  </si>
  <si>
    <t>MF75DLO</t>
  </si>
  <si>
    <t>ANDREW RAINEY</t>
  </si>
  <si>
    <t>Andrew Rainey</t>
  </si>
  <si>
    <t>KY23LZJ</t>
  </si>
  <si>
    <t>MARTIN NEALE</t>
  </si>
  <si>
    <t>Martin Neale</t>
  </si>
  <si>
    <t>KY23MFV</t>
  </si>
  <si>
    <t>DANIEL DUNKINSON</t>
  </si>
  <si>
    <t>Daniel Dunkinson</t>
  </si>
  <si>
    <t>NU22OJH</t>
  </si>
  <si>
    <t>Hardip Singh</t>
  </si>
  <si>
    <t>KY23MGX</t>
  </si>
  <si>
    <t>EDDIE WELLING</t>
  </si>
  <si>
    <t>Eddie Welling</t>
  </si>
  <si>
    <t>SF24RZP</t>
  </si>
  <si>
    <t>DAMIAN BENJAMIN</t>
  </si>
  <si>
    <t>Damian Benjamin</t>
  </si>
  <si>
    <t>SF24RZN</t>
  </si>
  <si>
    <t>GEORGE SCOTT</t>
  </si>
  <si>
    <t>George Scott</t>
  </si>
  <si>
    <t>NV22DFA</t>
  </si>
  <si>
    <t>SPARE SAW</t>
  </si>
  <si>
    <t>Ben Frost</t>
  </si>
  <si>
    <t>NV22DFX</t>
  </si>
  <si>
    <t>ARIS ZAGORIS</t>
  </si>
  <si>
    <t>MF75DUJ</t>
  </si>
  <si>
    <t>ALEX MUDGE</t>
  </si>
  <si>
    <t>Alex Mudge</t>
  </si>
  <si>
    <t>MF75DSY</t>
  </si>
  <si>
    <t>MICHAEL ALLEN</t>
  </si>
  <si>
    <t>Michael Allen</t>
  </si>
  <si>
    <t>KY23MGU</t>
  </si>
  <si>
    <t>SPARE VAN sAW</t>
  </si>
  <si>
    <t>Mark Mccabe</t>
  </si>
  <si>
    <t>KU26XSN</t>
  </si>
  <si>
    <t>CHRIS RICHARDS</t>
  </si>
  <si>
    <t>Christopher Richards</t>
  </si>
  <si>
    <t>SF24RZZ</t>
  </si>
  <si>
    <t>TONY BENYON</t>
  </si>
  <si>
    <t>Anthony Beynon</t>
  </si>
  <si>
    <t>KS26UFR</t>
  </si>
  <si>
    <t>KS26UFP</t>
  </si>
  <si>
    <t>LN74AKV</t>
  </si>
  <si>
    <t>WAYNE TAYLOR</t>
  </si>
  <si>
    <t>Wayne Taylor</t>
  </si>
  <si>
    <t>SF24RZB</t>
  </si>
  <si>
    <t>AARON PARSONS</t>
  </si>
  <si>
    <t>LK74ZPM</t>
  </si>
  <si>
    <t>CRAIG WOLFE</t>
  </si>
  <si>
    <t>Craig Wolfe</t>
  </si>
  <si>
    <t>NV22DVT</t>
  </si>
  <si>
    <t>MF75DNY</t>
  </si>
  <si>
    <t>NORMAN WILLIAMS</t>
  </si>
  <si>
    <t>Norman Williams</t>
  </si>
  <si>
    <t>MF75DOA</t>
  </si>
  <si>
    <t>LIAM JOCELYN/JAKE MIDDLETON</t>
  </si>
  <si>
    <t>Jake Middleton</t>
  </si>
  <si>
    <t>LK74ZKL</t>
  </si>
  <si>
    <t>DARREN COOK</t>
  </si>
  <si>
    <t>Darren Cook</t>
  </si>
  <si>
    <t>NU22OHE</t>
  </si>
  <si>
    <t>Mucahit Demir</t>
  </si>
  <si>
    <t>LN74AKY</t>
  </si>
  <si>
    <t>JOHN ROLLINGS</t>
  </si>
  <si>
    <t>John-Paul Rollings</t>
  </si>
  <si>
    <t>LN74AMK</t>
  </si>
  <si>
    <t>MARK TOWNLEY</t>
  </si>
  <si>
    <t>Mark Townley</t>
  </si>
  <si>
    <t>MF75DLN</t>
  </si>
  <si>
    <t>LIAM HOBBS</t>
  </si>
  <si>
    <t>Liam Hobbs</t>
  </si>
  <si>
    <t>LN74AJX</t>
  </si>
  <si>
    <t>JACK WHITTON</t>
  </si>
  <si>
    <t>Jack Whitton</t>
  </si>
  <si>
    <t>KY23MHO</t>
  </si>
  <si>
    <t>DANIEL BRIDSON</t>
  </si>
  <si>
    <t>Daniel Bridson</t>
  </si>
  <si>
    <t>LN74AJO</t>
  </si>
  <si>
    <t>LEE WASHINGTON</t>
  </si>
  <si>
    <t>Lee Washington</t>
  </si>
  <si>
    <t>LN74AKG</t>
  </si>
  <si>
    <t>KEVYN GRIFFITHS</t>
  </si>
  <si>
    <t>Kevyn Griffiths</t>
  </si>
  <si>
    <t>LN24UMX</t>
  </si>
  <si>
    <t>GARRY TANNER</t>
  </si>
  <si>
    <t>Garry Tanner</t>
  </si>
  <si>
    <t>MF75DTK</t>
  </si>
  <si>
    <t>ROSS LAWTON-WEBSTER</t>
  </si>
  <si>
    <t>Ross Lawton-Webster</t>
  </si>
  <si>
    <t>NV22DCY</t>
  </si>
  <si>
    <t>DANNY SHEEN</t>
  </si>
  <si>
    <t>Danny Sheen</t>
  </si>
  <si>
    <t>LN24UMT</t>
  </si>
  <si>
    <t>TONY BUSH</t>
  </si>
  <si>
    <t>Anthony Bush</t>
  </si>
  <si>
    <t>KU26XSK</t>
  </si>
  <si>
    <t>BILLY HORLER/BEN HOLMES</t>
  </si>
  <si>
    <t>Billy Horler</t>
  </si>
  <si>
    <t>LN24UMS</t>
  </si>
  <si>
    <t>SHANE ENFIELD</t>
  </si>
  <si>
    <t>Shane Enfield</t>
  </si>
  <si>
    <t>MF75DTN</t>
  </si>
  <si>
    <t>ANTHONY DAVIES</t>
  </si>
  <si>
    <t>Anthony Davies</t>
  </si>
  <si>
    <t>LN24UMV</t>
  </si>
  <si>
    <t>TOM CAMPBELL</t>
  </si>
  <si>
    <t>Thomas Campbell</t>
  </si>
  <si>
    <t>Steve Georgeson</t>
  </si>
  <si>
    <t>SF24RZA</t>
  </si>
  <si>
    <t>JAMES CALLAWAY</t>
  </si>
  <si>
    <t>James Callaway</t>
  </si>
  <si>
    <t>LN74AKO</t>
  </si>
  <si>
    <t>BRANDON SHAW</t>
  </si>
  <si>
    <t>Brandon Shaw</t>
  </si>
  <si>
    <t>NU22OHD</t>
  </si>
  <si>
    <t>Gavin Williams</t>
  </si>
  <si>
    <t>SF24RZO</t>
  </si>
  <si>
    <t>MOSEEB MALIK</t>
  </si>
  <si>
    <t>Moseeb Malik</t>
  </si>
  <si>
    <t>MF75DSU</t>
  </si>
  <si>
    <t>ALEX SLATER</t>
  </si>
  <si>
    <t>Alexander Slater</t>
  </si>
  <si>
    <t>SF24RZH</t>
  </si>
  <si>
    <t>CAMERAN BAILEY</t>
  </si>
  <si>
    <t>Cameran Bailey</t>
  </si>
  <si>
    <t>MH25SLU</t>
  </si>
  <si>
    <t>JOHN MCVEY</t>
  </si>
  <si>
    <t>John Mcvey</t>
  </si>
  <si>
    <t>NU22OHL</t>
  </si>
  <si>
    <t>SPARE VAN  MID</t>
  </si>
  <si>
    <t>LN74AOC</t>
  </si>
  <si>
    <t>KIERAN PARKER</t>
  </si>
  <si>
    <t>Kieran Parker</t>
  </si>
  <si>
    <t>LN74AHY</t>
  </si>
  <si>
    <t>MARIO TOLENTINO</t>
  </si>
  <si>
    <t>Mario Tolentino</t>
  </si>
  <si>
    <t>LN74AHZ</t>
  </si>
  <si>
    <t>HARDIP SINGH</t>
  </si>
  <si>
    <t>LN74AHX</t>
  </si>
  <si>
    <t>KYLE SHAW</t>
  </si>
  <si>
    <t>Kyle Shaw</t>
  </si>
  <si>
    <t>KS75EYG</t>
  </si>
  <si>
    <t>JON COOKE</t>
  </si>
  <si>
    <t>Jonathan Cooke</t>
  </si>
  <si>
    <t>KR25WVM</t>
  </si>
  <si>
    <t>SHEMEK</t>
  </si>
  <si>
    <t>Przemyslaw Skrzypczak</t>
  </si>
  <si>
    <t>LN74AMV</t>
  </si>
  <si>
    <t>LEE SWINFIELD</t>
  </si>
  <si>
    <t>Lee Swinfield</t>
  </si>
  <si>
    <t>NU22OHR</t>
  </si>
  <si>
    <t>DEREK McCORMAK</t>
  </si>
  <si>
    <t>Derek McCormack</t>
  </si>
  <si>
    <t>KY23MHA</t>
  </si>
  <si>
    <t>THOMAS GREATOREX</t>
  </si>
  <si>
    <t>MF75DME</t>
  </si>
  <si>
    <t>GLENN MILLER</t>
  </si>
  <si>
    <t>NU22VZX</t>
  </si>
  <si>
    <t>MARTIN BURLEY</t>
  </si>
  <si>
    <t>KY23MFP</t>
  </si>
  <si>
    <t>STEVE SANTOS</t>
  </si>
  <si>
    <t>Stephen Santos</t>
  </si>
  <si>
    <t>MF75DLK</t>
  </si>
  <si>
    <t>KRISTIAN MAINWARING</t>
  </si>
  <si>
    <t>Kristian Mainwaring</t>
  </si>
  <si>
    <t>NV22DFD</t>
  </si>
  <si>
    <t>KYLE TWIGG</t>
  </si>
  <si>
    <t>Kyle Twigg</t>
  </si>
  <si>
    <t>NV22DFP</t>
  </si>
  <si>
    <t>BRANDON WALLIS</t>
  </si>
  <si>
    <t>Brandon Wallis</t>
  </si>
  <si>
    <t>MF75DLY</t>
  </si>
  <si>
    <t>PHILLIP RYDER</t>
  </si>
  <si>
    <t>Phillip Ryder</t>
  </si>
  <si>
    <t>LN74AKZ</t>
  </si>
  <si>
    <t>JACK PRESTON/WARREN GUDGIN</t>
  </si>
  <si>
    <t>Jack Preston</t>
  </si>
  <si>
    <t>LN74AKU</t>
  </si>
  <si>
    <t>DAN PURVIN</t>
  </si>
  <si>
    <t>Daniel Purvin</t>
  </si>
  <si>
    <t>SF24RZJ</t>
  </si>
  <si>
    <t>JOSH PREWER</t>
  </si>
  <si>
    <t>Joshua Prewer</t>
  </si>
  <si>
    <t>KU26XSL</t>
  </si>
  <si>
    <t>ALI HART/SAYAD HUSSAIN</t>
  </si>
  <si>
    <t>Sayed Hussain</t>
  </si>
  <si>
    <t>KU26XUA</t>
  </si>
  <si>
    <t>CACEY SHAW</t>
  </si>
  <si>
    <t>Cacey Shaw</t>
  </si>
  <si>
    <t>LN24UNF</t>
  </si>
  <si>
    <t>JONATHAN EDWARDS</t>
  </si>
  <si>
    <t>Raymond Turley</t>
  </si>
  <si>
    <t>KY23LZL</t>
  </si>
  <si>
    <t>KAI HENDERSON</t>
  </si>
  <si>
    <t>Kai Henderson</t>
  </si>
  <si>
    <t>LN24UPW</t>
  </si>
  <si>
    <t>MARK ASHCROFT</t>
  </si>
  <si>
    <t>Mark Ashcroft</t>
  </si>
  <si>
    <t>LN74ANV</t>
  </si>
  <si>
    <t>JAMIE CHILTON / MATTHEW HENRY</t>
  </si>
  <si>
    <t>Matthew Henry</t>
  </si>
  <si>
    <t>LN24UMY</t>
  </si>
  <si>
    <t>JOHN SPELLER</t>
  </si>
  <si>
    <t>Jonathan Speller</t>
  </si>
  <si>
    <t>LM74HXX</t>
  </si>
  <si>
    <t>IAIN MCMANUS</t>
  </si>
  <si>
    <t>KY23LZH</t>
  </si>
  <si>
    <t>JOE ALDRIDGE</t>
  </si>
  <si>
    <t>Joe Aldridge</t>
  </si>
  <si>
    <t>LK74ZRA</t>
  </si>
  <si>
    <t>HAMMAD ZAHIR</t>
  </si>
  <si>
    <t>Hammad Zahir</t>
  </si>
  <si>
    <t>LK74ZPZ</t>
  </si>
  <si>
    <t>RICHARD HOLNESS</t>
  </si>
  <si>
    <t>Richard Holness</t>
  </si>
  <si>
    <t>LK74ZPY</t>
  </si>
  <si>
    <t>ETHAN DALE</t>
  </si>
  <si>
    <t>Ethan Dale</t>
  </si>
  <si>
    <t>LN24VBO</t>
  </si>
  <si>
    <t>NICHOLAS TAMBS</t>
  </si>
  <si>
    <t>Nicholas Tambs</t>
  </si>
  <si>
    <t>LK74ZPX</t>
  </si>
  <si>
    <t>KALEEM HALL HUSSAIN</t>
  </si>
  <si>
    <t>LK74ZPW</t>
  </si>
  <si>
    <t>AMAAN BHATTI</t>
  </si>
  <si>
    <t>Amaan Bhatti</t>
  </si>
  <si>
    <t>LK74ZJE</t>
  </si>
  <si>
    <t>HASSAN MAHMOOD</t>
  </si>
  <si>
    <t>LK74ZHX</t>
  </si>
  <si>
    <t>LEWIS BULLOCK</t>
  </si>
  <si>
    <t>Lewis Bullock</t>
  </si>
  <si>
    <t>LK74ZHV</t>
  </si>
  <si>
    <t>MICHAEL THORNTON</t>
  </si>
  <si>
    <t>Michael Thornton</t>
  </si>
  <si>
    <t>LN74ANR</t>
  </si>
  <si>
    <t>CHLOE DALE</t>
  </si>
  <si>
    <t>Chloe Dale</t>
  </si>
  <si>
    <t>LK74ZHT</t>
  </si>
  <si>
    <t>JAMIE DUNN</t>
  </si>
  <si>
    <t>Jamie Dunn</t>
  </si>
  <si>
    <t>Steve Phillips</t>
  </si>
  <si>
    <t>LN74ANP</t>
  </si>
  <si>
    <t>James Hodkinson</t>
  </si>
  <si>
    <t>NU22MXE</t>
  </si>
  <si>
    <t>SPARE VAN CEN</t>
  </si>
  <si>
    <t>LK74ZKF</t>
  </si>
  <si>
    <t>DAVE BRACEGIRDLE</t>
  </si>
  <si>
    <t>David Bracegirdle</t>
  </si>
  <si>
    <t>LN74ANU</t>
  </si>
  <si>
    <t>RICHARD ORMISTON</t>
  </si>
  <si>
    <t>Richard Ormiston</t>
  </si>
  <si>
    <t>LK74ZKH</t>
  </si>
  <si>
    <t>ALISTAIR BELL</t>
  </si>
  <si>
    <t>Alistair Bell</t>
  </si>
  <si>
    <t>MF75DTU</t>
  </si>
  <si>
    <t>JAMES HODKINSON/MARK RYDER</t>
  </si>
  <si>
    <t>LK74ZKM</t>
  </si>
  <si>
    <t>CHARLIE TAYLOR</t>
  </si>
  <si>
    <t>Charles Taylor</t>
  </si>
  <si>
    <t>LK74ZKN</t>
  </si>
  <si>
    <t>BILLY IQBAL</t>
  </si>
  <si>
    <t>Shahid Mohammed</t>
  </si>
  <si>
    <t>MF75DSZ</t>
  </si>
  <si>
    <t>MARK HAMPSON/LOUIE DANIELS</t>
  </si>
  <si>
    <t>Louie Daniels</t>
  </si>
  <si>
    <t>LM74HXY</t>
  </si>
  <si>
    <t>HARVEY TAYLOR</t>
  </si>
  <si>
    <t>Harvey Taylor</t>
  </si>
  <si>
    <t>LM74HYB</t>
  </si>
  <si>
    <t>PAUL HARDY</t>
  </si>
  <si>
    <t>Paul Hardy</t>
  </si>
  <si>
    <t>MF75DSX</t>
  </si>
  <si>
    <t>LEE JENNERWAY</t>
  </si>
  <si>
    <t>LM74HYC</t>
  </si>
  <si>
    <t>JORDAN BOX</t>
  </si>
  <si>
    <t>Jordan Box</t>
  </si>
  <si>
    <t>LN24UMR</t>
  </si>
  <si>
    <t>JOSH HOLGATE</t>
  </si>
  <si>
    <t>Joshua Holgate</t>
  </si>
  <si>
    <t>MF75DMO</t>
  </si>
  <si>
    <t>CHRIS HANKIN</t>
  </si>
  <si>
    <t>Christopher Hankin</t>
  </si>
  <si>
    <t>LN24UMU</t>
  </si>
  <si>
    <t>SIMON EDGAR</t>
  </si>
  <si>
    <t>Simon Edgar</t>
  </si>
  <si>
    <t>LN24UMW</t>
  </si>
  <si>
    <t>GARY BURGESS</t>
  </si>
  <si>
    <t>Gary Burgess</t>
  </si>
  <si>
    <t>LN24UMZ</t>
  </si>
  <si>
    <t>LEWIS OGEN/</t>
  </si>
  <si>
    <t>Lewis Ogden</t>
  </si>
  <si>
    <t>MF75DLV</t>
  </si>
  <si>
    <t>ROB APPLETON</t>
  </si>
  <si>
    <t>Robert Appleton</t>
  </si>
  <si>
    <t>LN24UNE</t>
  </si>
  <si>
    <t>ALEX WOOLLEY</t>
  </si>
  <si>
    <t>Alexander Woolley</t>
  </si>
  <si>
    <t>LN24UPX</t>
  </si>
  <si>
    <t>TOM BEAUMONT</t>
  </si>
  <si>
    <t>Thomas Beaumont</t>
  </si>
  <si>
    <t>MF75DLU</t>
  </si>
  <si>
    <t>STEVEN WELDON</t>
  </si>
  <si>
    <t>Steven Weldon</t>
  </si>
  <si>
    <t>LN24UPZ</t>
  </si>
  <si>
    <t>CHRIS JAYNES</t>
  </si>
  <si>
    <t>Christopher Jaynes</t>
  </si>
  <si>
    <t>LN74AJY</t>
  </si>
  <si>
    <t>CRAIG MOSS</t>
  </si>
  <si>
    <t>Craig Moss</t>
  </si>
  <si>
    <t>LN74AOA</t>
  </si>
  <si>
    <t>GARRY SMITH</t>
  </si>
  <si>
    <t>Garry Smith</t>
  </si>
  <si>
    <t>LN74ALO</t>
  </si>
  <si>
    <t>BRADLEY PROCTOR</t>
  </si>
  <si>
    <t>Bradley Proctor</t>
  </si>
  <si>
    <t>LN74ALU</t>
  </si>
  <si>
    <t>PAUL EDGAR</t>
  </si>
  <si>
    <t>Paul Edgar</t>
  </si>
  <si>
    <t>LN74ANX</t>
  </si>
  <si>
    <t>TOM WHITE</t>
  </si>
  <si>
    <t>Thomas White</t>
  </si>
  <si>
    <t>LN74AMU</t>
  </si>
  <si>
    <t>WILL WILKINSON</t>
  </si>
  <si>
    <t>William Wilkinson</t>
  </si>
  <si>
    <t>LN74ANF</t>
  </si>
  <si>
    <t>CALLUM DUFFIELD</t>
  </si>
  <si>
    <t>Callum Duffield</t>
  </si>
  <si>
    <t>LK74ZKE</t>
  </si>
  <si>
    <t>RYAN CARR</t>
  </si>
  <si>
    <t>Ryan Carr</t>
  </si>
  <si>
    <t>KS26UFE</t>
  </si>
  <si>
    <t>MF75DTZ</t>
  </si>
  <si>
    <t>MATT JOHNSON</t>
  </si>
  <si>
    <t>Matthew Johnson</t>
  </si>
  <si>
    <t>KS26UFG</t>
  </si>
  <si>
    <t>LK74ZKD</t>
  </si>
  <si>
    <t>Michael Forth</t>
  </si>
  <si>
    <t>NV22DFU</t>
  </si>
  <si>
    <t>KS26UFN</t>
  </si>
  <si>
    <t>SF24RYZ</t>
  </si>
  <si>
    <t>SF24RZK</t>
  </si>
  <si>
    <t>SHAHID ALI</t>
  </si>
  <si>
    <t>Muhammad Ali</t>
  </si>
  <si>
    <t>KS75EYH</t>
  </si>
  <si>
    <t>BRIAN HANSEN</t>
  </si>
  <si>
    <t>Brian Hansen</t>
  </si>
  <si>
    <t>KS75EYO</t>
  </si>
  <si>
    <t>ALAN SMITH</t>
  </si>
  <si>
    <t>Alan Smith</t>
  </si>
  <si>
    <t>SF24RZS</t>
  </si>
  <si>
    <t>CHRIS TOWNEND</t>
  </si>
  <si>
    <t>Christopher Townend</t>
  </si>
  <si>
    <t>SF24RZW</t>
  </si>
  <si>
    <t>FAISAL MEHMOOD</t>
  </si>
  <si>
    <t>Faisal Mehmood</t>
  </si>
  <si>
    <t>KS75EYC</t>
  </si>
  <si>
    <t>CRAIG ROBINSON/KARL HOLMES</t>
  </si>
  <si>
    <t>Craig Robinson</t>
  </si>
  <si>
    <t>KS75EYP</t>
  </si>
  <si>
    <t>AARON HEGNEY</t>
  </si>
  <si>
    <t>Aaron Hegney</t>
  </si>
  <si>
    <t>KS75EYT</t>
  </si>
  <si>
    <t>GREG WATSON</t>
  </si>
  <si>
    <t>KU26XST</t>
  </si>
  <si>
    <t>DEAN UPTON</t>
  </si>
  <si>
    <t>Dean Upton</t>
  </si>
  <si>
    <t>BG72NPN</t>
  </si>
  <si>
    <t>Lee Jones</t>
  </si>
  <si>
    <t>KS75EYF</t>
  </si>
  <si>
    <t>CHRIS HEALD/PIERS STARK</t>
  </si>
  <si>
    <t>Piers Stark</t>
  </si>
  <si>
    <t>NV22DFG</t>
  </si>
  <si>
    <t>Jack Gardner</t>
  </si>
  <si>
    <t>KS26UFM</t>
  </si>
  <si>
    <t>LK74ZJJ</t>
  </si>
  <si>
    <t>CALLUM NICHOLS</t>
  </si>
  <si>
    <t>Callum Nichols</t>
  </si>
  <si>
    <t>KS26UFL</t>
  </si>
  <si>
    <t>NV22DFE</t>
  </si>
  <si>
    <t>MIKE ALLEN</t>
  </si>
  <si>
    <t>KS26UFK</t>
  </si>
  <si>
    <t>KS26UFH</t>
  </si>
  <si>
    <t>LK74ZHW</t>
  </si>
  <si>
    <t>OLIVER THORPE</t>
  </si>
  <si>
    <t>Oliver Thorpe</t>
  </si>
  <si>
    <t>KU26XSO</t>
  </si>
  <si>
    <t>MATTHEW PARTINGTON</t>
  </si>
  <si>
    <t>Matthew Partington</t>
  </si>
  <si>
    <t>NU22OJF</t>
  </si>
  <si>
    <t>Paul Hutchinson</t>
  </si>
  <si>
    <t>KY23MHF</t>
  </si>
  <si>
    <t>JACOB BROWN</t>
  </si>
  <si>
    <t>Jacob Brown</t>
  </si>
  <si>
    <t>KS75EYV</t>
  </si>
  <si>
    <t>FRANK DEAN</t>
  </si>
  <si>
    <t>Frank Dean</t>
  </si>
  <si>
    <t>NU22OJE</t>
  </si>
  <si>
    <t>JAMES MACDONALD</t>
  </si>
  <si>
    <t>James Macdonald</t>
  </si>
  <si>
    <t>KS26UFJ</t>
  </si>
  <si>
    <t>LK74ZHU</t>
  </si>
  <si>
    <t>KIERAN FEELEY</t>
  </si>
  <si>
    <t>NU22WBN</t>
  </si>
  <si>
    <t>Lee Jennerway</t>
  </si>
  <si>
    <t>Ops Manager</t>
  </si>
  <si>
    <t xml:space="preserve">Requistion </t>
  </si>
  <si>
    <t>Job Title</t>
  </si>
  <si>
    <t>Shift Pattern</t>
  </si>
  <si>
    <t>Location</t>
  </si>
  <si>
    <t>Job Creation Date</t>
  </si>
  <si>
    <t>Stage</t>
  </si>
  <si>
    <t>Offered</t>
  </si>
  <si>
    <t>Start Date</t>
  </si>
  <si>
    <t>Comments</t>
  </si>
  <si>
    <t>KF22731</t>
  </si>
  <si>
    <t>Mobile Tyre Fitter</t>
  </si>
  <si>
    <t>M7</t>
  </si>
  <si>
    <t xml:space="preserve">Chesterfield </t>
  </si>
  <si>
    <t>TI stage</t>
  </si>
  <si>
    <t>ex employee to review</t>
  </si>
  <si>
    <t xml:space="preserve">2nd tech S41 9NF </t>
  </si>
  <si>
    <t>KF22741</t>
  </si>
  <si>
    <t>Standard</t>
  </si>
  <si>
    <t>Nelson</t>
  </si>
  <si>
    <t>Ashley Smith REHIRE F2F TBC</t>
  </si>
  <si>
    <t>to replace Terry</t>
  </si>
  <si>
    <t>KF22799</t>
  </si>
  <si>
    <t>Wakefield</t>
  </si>
  <si>
    <t>no suitable applicants</t>
  </si>
  <si>
    <t>2nd tech WF2 0SJ</t>
  </si>
  <si>
    <t>KF22727</t>
  </si>
  <si>
    <t>Andover</t>
  </si>
  <si>
    <t>Andover base centre</t>
  </si>
  <si>
    <t>KF22774</t>
  </si>
  <si>
    <t xml:space="preserve">Hatch End </t>
  </si>
  <si>
    <t>F2F stage</t>
  </si>
  <si>
    <t>Arran Little F2F Fri 22/05 at 6pm</t>
  </si>
  <si>
    <t>KF22766</t>
  </si>
  <si>
    <t>Slough</t>
  </si>
  <si>
    <t>partner for HP9 2FZ</t>
  </si>
  <si>
    <t>KF22771</t>
  </si>
  <si>
    <t>Sunbury on Thames</t>
  </si>
  <si>
    <t>partner for KT6 5JB</t>
  </si>
  <si>
    <t>KF22767</t>
  </si>
  <si>
    <t>Swindon</t>
  </si>
  <si>
    <t>partner for SN2 5DF</t>
  </si>
  <si>
    <t>KF22675</t>
  </si>
  <si>
    <t>Windsor</t>
  </si>
  <si>
    <t>Steven Grylls F2F Fri 22/05 at 9am and another ZD applicant added</t>
  </si>
  <si>
    <t>KF22266</t>
  </si>
  <si>
    <t>Charlton</t>
  </si>
  <si>
    <t>partner for Peter Simon SE12 9RA</t>
  </si>
  <si>
    <t>KF22729</t>
  </si>
  <si>
    <t>Standard or Tues/Sat</t>
  </si>
  <si>
    <t>Elephant and Castle</t>
  </si>
  <si>
    <t>to replace Jack, Old Kent Road base centre</t>
  </si>
  <si>
    <t>KF22730</t>
  </si>
  <si>
    <t>Letchworth</t>
  </si>
  <si>
    <t xml:space="preserve">Letchworth hub base centre </t>
  </si>
  <si>
    <t>KF22708</t>
  </si>
  <si>
    <t>Norwich</t>
  </si>
  <si>
    <t>Thomas Smith F2F Thurs 21/05 at 1pm and Sam Woodvine F2F 2pm</t>
  </si>
  <si>
    <t xml:space="preserve">Norwich STS Tyre Pros base or Dereham location would work too </t>
  </si>
  <si>
    <t>KF22639</t>
  </si>
  <si>
    <t>Orpington</t>
  </si>
  <si>
    <t>partner BR5 3JJ</t>
  </si>
  <si>
    <t>KF22216</t>
  </si>
  <si>
    <t>Welwyn Garden City</t>
  </si>
  <si>
    <t>Welwyn Garden City base centre</t>
  </si>
  <si>
    <t>KF22331</t>
  </si>
  <si>
    <t>Birmingham</t>
  </si>
  <si>
    <t>partner for B26 to B28</t>
  </si>
  <si>
    <t>KF22332</t>
  </si>
  <si>
    <t>Coventry</t>
  </si>
  <si>
    <t>Coventry CV9 to CV11</t>
  </si>
  <si>
    <t>KF22579</t>
  </si>
  <si>
    <t>Gloucester</t>
  </si>
  <si>
    <t>Bristol Road base centre</t>
  </si>
  <si>
    <t>KF22531</t>
  </si>
  <si>
    <t>Leicester</t>
  </si>
  <si>
    <t>Shane Fry ZD F2F Fri 22/05 at 2.30pm</t>
  </si>
  <si>
    <t>additional van - low LE postcodes</t>
  </si>
  <si>
    <t>KF22582</t>
  </si>
  <si>
    <t>Tues/Sat</t>
  </si>
  <si>
    <t>Lichfield</t>
  </si>
  <si>
    <t xml:space="preserve">Jake Kennedy ZD F2F Tues 26/05 at 10.30am </t>
  </si>
  <si>
    <t>Lichfield Tyre Pros base centre</t>
  </si>
  <si>
    <t>KF21679</t>
  </si>
  <si>
    <t>Ballymena</t>
  </si>
  <si>
    <t>Damien Caldwell - new DL required</t>
  </si>
  <si>
    <t>KF22676</t>
  </si>
  <si>
    <t>Belfast</t>
  </si>
  <si>
    <t xml:space="preserve">Steven Monaghan replacement </t>
  </si>
  <si>
    <t>KF22349</t>
  </si>
  <si>
    <t>Coleraine</t>
  </si>
  <si>
    <t xml:space="preserve"> </t>
  </si>
  <si>
    <t>Vehicle Cost Centre</t>
  </si>
  <si>
    <t>VRN</t>
  </si>
  <si>
    <t>Driver</t>
  </si>
  <si>
    <t>M4002</t>
  </si>
  <si>
    <t>NU22OHF</t>
  </si>
  <si>
    <t>M4006</t>
  </si>
  <si>
    <t>M4005</t>
  </si>
  <si>
    <t>M4001</t>
  </si>
  <si>
    <t>M4004</t>
  </si>
  <si>
    <t>M4007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</si>
</sst>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2" borderId="1" xfId="0" applyFont="1" applyFill="1" applyBorder="1"/>
    <xf numFmtId="0" fontId="3" fillId="0" borderId="1" xfId="0" applyFont="1" applyBorder="1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3" borderId="1" xfId="0" applyFont="1" applyFill="1" applyBorder="1"/>
    <xf numFmtId="1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16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18">
    <dxf>
      <fill>
        <patternFill>
          <bgColor rgb="FFFF7C8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elimitedcouk-my.sharepoint.com/personal/john_woods_etelimited_co_uk/Documents/UPDATED%20KFM%20PROi%20Devices.xlsx" TargetMode="External"/><Relationship Id="rId1" Type="http://schemas.openxmlformats.org/officeDocument/2006/relationships/externalLinkPath" Target="https://etelimitedcouk-my.sharepoint.com/personal/john_woods_etelimited_co_uk/Documents/UPDATED%20KFM%20PROi%20Dev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scriptions"/>
    </sheetNames>
    <sheetDataSet>
      <sheetData sheetId="0">
        <row r="1">
          <cell r="A1" t="str">
            <v>Vehicle name</v>
          </cell>
        </row>
        <row r="2">
          <cell r="A2" t="str">
            <v>SF24RZV</v>
          </cell>
        </row>
        <row r="3">
          <cell r="A3" t="str">
            <v>SF24RYZ</v>
          </cell>
        </row>
        <row r="4">
          <cell r="A4" t="str">
            <v>SF24RZT</v>
          </cell>
        </row>
        <row r="5">
          <cell r="A5" t="str">
            <v>SF24RZK</v>
          </cell>
        </row>
        <row r="6">
          <cell r="A6" t="str">
            <v>LN74AKO</v>
          </cell>
        </row>
        <row r="7">
          <cell r="A7" t="str">
            <v>SF24RZL</v>
          </cell>
        </row>
        <row r="8">
          <cell r="A8" t="str">
            <v>LK74ZKG</v>
          </cell>
        </row>
        <row r="9">
          <cell r="A9" t="str">
            <v>SF24RZH</v>
          </cell>
        </row>
        <row r="10">
          <cell r="A10" t="str">
            <v>SF24RZA</v>
          </cell>
        </row>
        <row r="11">
          <cell r="A11" t="str">
            <v>SF24RZM</v>
          </cell>
        </row>
        <row r="12">
          <cell r="A12" t="str">
            <v>LN24UMS</v>
          </cell>
        </row>
        <row r="13">
          <cell r="A13" t="str">
            <v>SF24RZJ</v>
          </cell>
        </row>
        <row r="14">
          <cell r="A14" t="str">
            <v>LN24UMR</v>
          </cell>
        </row>
        <row r="15">
          <cell r="A15" t="str">
            <v>SF24RZS</v>
          </cell>
        </row>
        <row r="16">
          <cell r="A16" t="str">
            <v>LN24UMT</v>
          </cell>
        </row>
        <row r="17">
          <cell r="A17" t="str">
            <v>LN24UMW</v>
          </cell>
        </row>
        <row r="18">
          <cell r="A18" t="str">
            <v>LN24UMU</v>
          </cell>
        </row>
        <row r="19">
          <cell r="A19" t="str">
            <v>LK74ZHX</v>
          </cell>
        </row>
        <row r="20">
          <cell r="A20" t="str">
            <v>LK74ZKL</v>
          </cell>
        </row>
        <row r="21">
          <cell r="A21" t="str">
            <v>LK74ZHT</v>
          </cell>
        </row>
        <row r="22">
          <cell r="A22" t="str">
            <v>LK74ZPM</v>
          </cell>
        </row>
        <row r="23">
          <cell r="A23" t="str">
            <v>LN24VBM</v>
          </cell>
        </row>
        <row r="24">
          <cell r="A24" t="str">
            <v>LK74ZJE</v>
          </cell>
        </row>
        <row r="25">
          <cell r="A25" t="str">
            <v>LK74ZKJ</v>
          </cell>
        </row>
        <row r="26">
          <cell r="A26" t="str">
            <v>LK74ZKJ</v>
          </cell>
        </row>
        <row r="27">
          <cell r="A27" t="str">
            <v>LK74ZHU</v>
          </cell>
        </row>
        <row r="28">
          <cell r="A28" t="str">
            <v>LK74ZKE</v>
          </cell>
        </row>
        <row r="29">
          <cell r="A29" t="str">
            <v>LK74ZPN</v>
          </cell>
        </row>
        <row r="30">
          <cell r="A30" t="str">
            <v>LK74ZPS</v>
          </cell>
        </row>
        <row r="31">
          <cell r="A31" t="str">
            <v>LK74ZPS</v>
          </cell>
        </row>
        <row r="32">
          <cell r="A32" t="str">
            <v>LK74ZPO</v>
          </cell>
        </row>
        <row r="33">
          <cell r="A33" t="str">
            <v>LK74ZPP</v>
          </cell>
        </row>
        <row r="34">
          <cell r="A34" t="str">
            <v>LK74ZPT</v>
          </cell>
        </row>
        <row r="35">
          <cell r="A35" t="str">
            <v>LK74ZPW</v>
          </cell>
        </row>
        <row r="36">
          <cell r="A36" t="str">
            <v>LK74ZPX</v>
          </cell>
        </row>
        <row r="37">
          <cell r="A37" t="str">
            <v>LK74ZPV</v>
          </cell>
        </row>
        <row r="38">
          <cell r="A38" t="str">
            <v>LK74ZPY</v>
          </cell>
        </row>
        <row r="39">
          <cell r="A39" t="str">
            <v>LN24VBO</v>
          </cell>
        </row>
        <row r="40">
          <cell r="A40" t="str">
            <v>LK74ZPU</v>
          </cell>
        </row>
        <row r="41">
          <cell r="A41" t="str">
            <v>LK74ZPZ</v>
          </cell>
        </row>
        <row r="42">
          <cell r="A42" t="str">
            <v>LN74AKX</v>
          </cell>
        </row>
        <row r="43">
          <cell r="A43" t="str">
            <v>LN74AHY</v>
          </cell>
        </row>
        <row r="44">
          <cell r="A44" t="str">
            <v>LN74AHX</v>
          </cell>
        </row>
        <row r="45">
          <cell r="A45" t="str">
            <v>LK74ZRA</v>
          </cell>
        </row>
        <row r="46">
          <cell r="A46" t="str">
            <v>LN74AKV</v>
          </cell>
        </row>
        <row r="47">
          <cell r="A47" t="str">
            <v>LN74AKJ</v>
          </cell>
        </row>
        <row r="48">
          <cell r="A48" t="str">
            <v>LN74AJY</v>
          </cell>
        </row>
        <row r="49">
          <cell r="A49" t="str">
            <v>LN74AKP</v>
          </cell>
        </row>
        <row r="50">
          <cell r="A50" t="str">
            <v xml:space="preserve">LN74AKF </v>
          </cell>
        </row>
        <row r="51">
          <cell r="A51" t="str">
            <v>LN74AMK</v>
          </cell>
        </row>
        <row r="52">
          <cell r="A52" t="str">
            <v>LN74AJX</v>
          </cell>
        </row>
        <row r="53">
          <cell r="A53" t="str">
            <v>LN74AJV</v>
          </cell>
        </row>
        <row r="54">
          <cell r="A54" t="str">
            <v>LN74AJO</v>
          </cell>
        </row>
        <row r="55">
          <cell r="A55" t="str">
            <v>LN74AJU</v>
          </cell>
        </row>
        <row r="56">
          <cell r="A56" t="str">
            <v>LN74AOA</v>
          </cell>
        </row>
        <row r="57">
          <cell r="A57" t="str">
            <v>LN74ANP</v>
          </cell>
        </row>
        <row r="58">
          <cell r="A58" t="str">
            <v>LN74AKU</v>
          </cell>
        </row>
        <row r="59">
          <cell r="A59" t="str">
            <v>LK74ZKD</v>
          </cell>
        </row>
        <row r="60">
          <cell r="A60" t="str">
            <v>KS75EYZ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B38644D-9286-4B0A-A246-1D62F331E55B}" autoFormatId="16" applyNumberFormats="0" applyBorderFormats="0" applyFontFormats="0" applyPatternFormats="0" applyAlignmentFormats="0" applyWidthHeightFormats="0">
  <queryTableRefresh nextId="17" unboundColumnsRight="5">
    <queryTableFields count="11">
      <queryTableField id="8" name="MROM" tableColumnId="8"/>
      <queryTableField id="2" name="Van No" tableColumnId="2"/>
      <queryTableField id="3" name="Registration" tableColumnId="3"/>
      <queryTableField id="5" name="Allocated Tech" tableColumnId="5"/>
      <queryTableField id="9" name="Fleet check Driver logged in" tableColumnId="9"/>
      <queryTableField id="7" name="VOR" tableColumnId="7"/>
      <queryTableField id="12" dataBound="0" tableColumnId="10"/>
      <queryTableField id="13" dataBound="0" tableColumnId="11"/>
      <queryTableField id="14" dataBound="0" tableColumnId="12"/>
      <queryTableField id="15" dataBound="0" tableColumnId="13"/>
      <queryTableField id="16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6E54280-902B-44EA-90A8-F6D3B02A7925}" autoFormatId="16" applyNumberFormats="0" applyBorderFormats="0" applyFontFormats="0" applyPatternFormats="0" applyAlignmentFormats="0" applyWidthHeightFormats="0">
  <queryTableRefresh nextId="6">
    <queryTableFields count="3">
      <queryTableField id="1" name="Vehicle Cost Centre" tableColumnId="1"/>
      <queryTableField id="4" name="VRN" tableColumnId="4"/>
      <queryTableField id="5" name="Driv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94EDD-2EEB-48D5-8199-A7F8652F2AAB}" name="CAL" displayName="CAL" ref="A1:K260" tableType="queryTable" totalsRowShown="0" headerRowDxfId="17" dataDxfId="16">
  <autoFilter ref="A1:K260" xr:uid="{9A494EDD-2EEB-48D5-8199-A7F8652F2AAB}"/>
  <tableColumns count="11">
    <tableColumn id="8" xr3:uid="{F8D683D7-4915-4037-9BE9-05D8A5960981}" uniqueName="8" name="MROM" queryTableFieldId="8" dataDxfId="15"/>
    <tableColumn id="2" xr3:uid="{BD06FE0B-CC6A-48E8-84ED-32DB2A523A08}" uniqueName="2" name="Van No" queryTableFieldId="2" dataDxfId="14"/>
    <tableColumn id="3" xr3:uid="{C5612028-9EE9-4506-B6E9-040865E6E032}" uniqueName="3" name="Registration" queryTableFieldId="3" dataDxfId="13"/>
    <tableColumn id="5" xr3:uid="{22564A31-E542-4FE8-8443-A3E804A2EF5C}" uniqueName="5" name="Allocated Tech" queryTableFieldId="5" dataDxfId="12"/>
    <tableColumn id="9" xr3:uid="{F7FF2967-BE63-41EE-9D7C-A3C101503CEB}" uniqueName="9" name="Fleet check Driver logged in" queryTableFieldId="9" dataDxfId="11"/>
    <tableColumn id="7" xr3:uid="{C6947EA9-C8A7-48BA-8555-C56718DA53BF}" uniqueName="7" name="VOR" queryTableFieldId="7" dataDxfId="10"/>
    <tableColumn id="10" xr3:uid="{78FCA391-CAFB-43C6-A348-9C9414804952}" uniqueName="10" name="Allocate to Trainee" queryTableFieldId="12" dataDxfId="9"/>
    <tableColumn id="11" xr3:uid="{39D0B62E-48BB-46F7-9C4A-285048980BF2}" uniqueName="11" name="Allocted &amp; Login Match" queryTableFieldId="13" dataDxfId="8">
      <calculatedColumnFormula>_xlfn.XMATCH(CAL[[#This Row],[Allocated Tech]],CAL[[#This Row],[Fleet check Driver logged in]],0)</calculatedColumnFormula>
    </tableColumn>
    <tableColumn id="12" xr3:uid="{34FA8368-3A2B-454A-94BC-0C73EB34B0E4}" uniqueName="12" name="Column1" queryTableFieldId="14" dataDxfId="7"/>
    <tableColumn id="13" xr3:uid="{762DEE74-3B22-4558-B842-012DE422E694}" uniqueName="13" name="Column2" queryTableFieldId="15" dataDxfId="6"/>
    <tableColumn id="14" xr3:uid="{C913ED7C-873F-4BD0-932C-9F27A773C072}" uniqueName="14" name="Column3" queryTableFieldId="16" dataDxfId="5">
      <calculatedColumnFormula>_xlfn.XLOOKUP(CAL[[#This Row],[Registration]],[1]Subscriptions!$A:$A,[1]Subscriptions!#REF!)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D241F9-0B2B-4A53-A540-964E07F41B65}" name="Fleet_check_Driver_log" displayName="Fleet_check_Driver_log" ref="A1:C245" tableType="queryTable" totalsRowShown="0">
  <autoFilter ref="A1:C245" xr:uid="{31D241F9-0B2B-4A53-A540-964E07F41B65}"/>
  <tableColumns count="3">
    <tableColumn id="1" xr3:uid="{4FA2B7B9-345A-4EAF-8B48-1300E0AF673C}" uniqueName="1" name="Vehicle Cost Centre" queryTableFieldId="1" dataDxfId="3"/>
    <tableColumn id="4" xr3:uid="{43E9F93E-83AD-4ED3-B06B-B3F6CCC745D7}" uniqueName="4" name="VRN" queryTableFieldId="4" dataDxfId="2"/>
    <tableColumn id="5" xr3:uid="{44FE068A-8BCD-44E8-BF68-0C175B638282}" uniqueName="5" name="Driver" queryTableFieldId="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2614-A5F4-4E64-ACCB-F23F2DA956BA}">
  <dimension ref="A1:K260"/>
  <sheetViews>
    <sheetView tabSelected="1" topLeftCell="A235" workbookViewId="0">
      <selection activeCell="C252" sqref="C252"/>
    </sheetView>
  </sheetViews>
  <sheetFormatPr defaultRowHeight="15" x14ac:dyDescent="0.25"/>
  <cols>
    <col min="1" max="1" width="14.7109375" bestFit="1" customWidth="1"/>
    <col min="2" max="2" width="11.42578125" bestFit="1" customWidth="1"/>
    <col min="3" max="3" width="15.85546875" bestFit="1" customWidth="1"/>
    <col min="4" max="4" width="36.28515625" bestFit="1" customWidth="1"/>
    <col min="5" max="5" width="29.7109375" bestFit="1" customWidth="1"/>
    <col min="6" max="6" width="9.140625" bestFit="1" customWidth="1"/>
    <col min="7" max="7" width="21.5703125" bestFit="1" customWidth="1"/>
    <col min="8" max="8" width="25.140625" hidden="1" customWidth="1"/>
    <col min="9" max="11" width="13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B2" s="2">
        <v>405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>
        <f>_xlfn.XMATCH(CAL[[#This Row],[Allocated Tech]],CAL[[#This Row],[Fleet check Driver logged in]],0)</f>
        <v>1</v>
      </c>
      <c r="I2" s="2"/>
      <c r="J2" s="2"/>
      <c r="K2" s="2" t="e">
        <f>_xlfn.XLOOKUP(CAL[[#This Row],[Registration]],[1]Subscriptions!$A:$A,[1]Subscriptions!#REF!)</f>
        <v>#REF!</v>
      </c>
    </row>
    <row r="3" spans="1:11" x14ac:dyDescent="0.25">
      <c r="A3" s="2" t="s">
        <v>11</v>
      </c>
      <c r="B3" s="2">
        <v>213</v>
      </c>
      <c r="C3" s="2" t="s">
        <v>16</v>
      </c>
      <c r="D3" s="2" t="s">
        <v>17</v>
      </c>
      <c r="E3" s="2" t="s">
        <v>18</v>
      </c>
      <c r="F3" s="2" t="s">
        <v>15</v>
      </c>
      <c r="G3" s="2"/>
      <c r="H3" s="2" t="e">
        <f>_xlfn.XMATCH(CAL[[#This Row],[Allocated Tech]],CAL[[#This Row],[Fleet check Driver logged in]],0)</f>
        <v>#N/A</v>
      </c>
      <c r="I3" s="2"/>
      <c r="J3" s="2"/>
      <c r="K3" s="2" t="e">
        <f>_xlfn.XLOOKUP(CAL[[#This Row],[Registration]],[1]Subscriptions!$A:$A,[1]Subscriptions!#REF!)</f>
        <v>#REF!</v>
      </c>
    </row>
    <row r="4" spans="1:11" x14ac:dyDescent="0.25">
      <c r="A4" s="2" t="s">
        <v>11</v>
      </c>
      <c r="B4" s="2">
        <v>211</v>
      </c>
      <c r="C4" s="2" t="s">
        <v>19</v>
      </c>
      <c r="D4" s="2" t="s">
        <v>20</v>
      </c>
      <c r="E4" s="2" t="s">
        <v>21</v>
      </c>
      <c r="F4" s="2" t="s">
        <v>15</v>
      </c>
      <c r="G4" s="2"/>
      <c r="H4" s="2" t="e">
        <f>_xlfn.XMATCH(CAL[[#This Row],[Allocated Tech]],CAL[[#This Row],[Fleet check Driver logged in]],0)</f>
        <v>#N/A</v>
      </c>
      <c r="I4" s="2"/>
      <c r="J4" s="2"/>
      <c r="K4" s="2" t="e">
        <f>_xlfn.XLOOKUP(CAL[[#This Row],[Registration]],[1]Subscriptions!$A:$A,[1]Subscriptions!#REF!)</f>
        <v>#REF!</v>
      </c>
    </row>
    <row r="5" spans="1:11" x14ac:dyDescent="0.25">
      <c r="A5" s="2" t="s">
        <v>11</v>
      </c>
      <c r="B5" s="2">
        <v>551</v>
      </c>
      <c r="C5" s="2" t="s">
        <v>22</v>
      </c>
      <c r="D5" s="2" t="s">
        <v>23</v>
      </c>
      <c r="E5" s="2" t="s">
        <v>24</v>
      </c>
      <c r="F5" s="2" t="s">
        <v>15</v>
      </c>
      <c r="G5" s="2"/>
      <c r="H5" s="2" t="e">
        <f>_xlfn.XMATCH(CAL[[#This Row],[Allocated Tech]],CAL[[#This Row],[Fleet check Driver logged in]],0)</f>
        <v>#N/A</v>
      </c>
      <c r="I5" s="2"/>
      <c r="J5" s="2"/>
      <c r="K5" s="2" t="e">
        <f>_xlfn.XLOOKUP(CAL[[#This Row],[Registration]],[1]Subscriptions!$A:$A,[1]Subscriptions!#REF!)</f>
        <v>#REF!</v>
      </c>
    </row>
    <row r="6" spans="1:11" x14ac:dyDescent="0.25">
      <c r="A6" s="2" t="s">
        <v>11</v>
      </c>
      <c r="B6" s="2">
        <v>973</v>
      </c>
      <c r="C6" s="2" t="s">
        <v>25</v>
      </c>
      <c r="D6" s="2" t="s">
        <v>26</v>
      </c>
      <c r="E6" s="2"/>
      <c r="F6" s="2" t="s">
        <v>5</v>
      </c>
      <c r="G6" s="2"/>
      <c r="H6" s="2" t="e">
        <f>_xlfn.XMATCH(CAL[[#This Row],[Allocated Tech]],CAL[[#This Row],[Fleet check Driver logged in]],0)</f>
        <v>#N/A</v>
      </c>
      <c r="I6" s="2"/>
      <c r="J6" s="2"/>
      <c r="K6" s="2" t="e">
        <f>_xlfn.XLOOKUP(CAL[[#This Row],[Registration]],[1]Subscriptions!$A:$A,[1]Subscriptions!#REF!)</f>
        <v>#REF!</v>
      </c>
    </row>
    <row r="7" spans="1:11" x14ac:dyDescent="0.25">
      <c r="A7" s="2" t="s">
        <v>11</v>
      </c>
      <c r="B7" s="2">
        <v>990</v>
      </c>
      <c r="C7" s="2" t="s">
        <v>27</v>
      </c>
      <c r="D7" s="2" t="s">
        <v>28</v>
      </c>
      <c r="E7" s="2" t="s">
        <v>29</v>
      </c>
      <c r="F7" s="2" t="s">
        <v>15</v>
      </c>
      <c r="G7" s="2"/>
      <c r="H7" s="2" t="e">
        <f>_xlfn.XMATCH(CAL[[#This Row],[Allocated Tech]],CAL[[#This Row],[Fleet check Driver logged in]],0)</f>
        <v>#N/A</v>
      </c>
      <c r="I7" s="2"/>
      <c r="J7" s="2"/>
      <c r="K7" s="2" t="e">
        <f>_xlfn.XLOOKUP(CAL[[#This Row],[Registration]],[1]Subscriptions!$A:$A,[1]Subscriptions!#REF!)</f>
        <v>#REF!</v>
      </c>
    </row>
    <row r="8" spans="1:11" x14ac:dyDescent="0.25">
      <c r="A8" s="2" t="s">
        <v>11</v>
      </c>
      <c r="B8" s="2">
        <v>871</v>
      </c>
      <c r="C8" s="2" t="s">
        <v>30</v>
      </c>
      <c r="D8" s="2" t="s">
        <v>31</v>
      </c>
      <c r="E8" s="2" t="s">
        <v>32</v>
      </c>
      <c r="F8" s="2" t="s">
        <v>15</v>
      </c>
      <c r="G8" s="2"/>
      <c r="H8" s="2" t="e">
        <f>_xlfn.XMATCH(CAL[[#This Row],[Allocated Tech]],CAL[[#This Row],[Fleet check Driver logged in]],0)</f>
        <v>#N/A</v>
      </c>
      <c r="I8" s="2"/>
      <c r="J8" s="2"/>
      <c r="K8" s="2" t="e">
        <f>_xlfn.XLOOKUP(CAL[[#This Row],[Registration]],[1]Subscriptions!$A:$A,[1]Subscriptions!#REF!)</f>
        <v>#REF!</v>
      </c>
    </row>
    <row r="9" spans="1:11" x14ac:dyDescent="0.25">
      <c r="A9" s="2" t="s">
        <v>11</v>
      </c>
      <c r="B9" s="2">
        <v>858</v>
      </c>
      <c r="C9" s="2" t="s">
        <v>33</v>
      </c>
      <c r="D9" s="2" t="s">
        <v>34</v>
      </c>
      <c r="E9" s="2"/>
      <c r="F9" s="2" t="s">
        <v>15</v>
      </c>
      <c r="G9" s="2"/>
      <c r="H9" s="2" t="e">
        <f>_xlfn.XMATCH(CAL[[#This Row],[Allocated Tech]],CAL[[#This Row],[Fleet check Driver logged in]],0)</f>
        <v>#N/A</v>
      </c>
      <c r="I9" s="2"/>
      <c r="J9" s="2"/>
      <c r="K9" s="2" t="e">
        <f>_xlfn.XLOOKUP(CAL[[#This Row],[Registration]],[1]Subscriptions!$A:$A,[1]Subscriptions!#REF!)</f>
        <v>#REF!</v>
      </c>
    </row>
    <row r="10" spans="1:11" x14ac:dyDescent="0.25">
      <c r="A10" s="2" t="s">
        <v>35</v>
      </c>
      <c r="B10" s="2">
        <v>147</v>
      </c>
      <c r="C10" s="2" t="s">
        <v>36</v>
      </c>
      <c r="D10" s="2" t="s">
        <v>37</v>
      </c>
      <c r="E10" s="2" t="s">
        <v>38</v>
      </c>
      <c r="F10" s="2" t="s">
        <v>15</v>
      </c>
      <c r="G10" s="2"/>
      <c r="H10" s="2">
        <f>_xlfn.XMATCH(CAL[[#This Row],[Allocated Tech]],CAL[[#This Row],[Fleet check Driver logged in]],0)</f>
        <v>1</v>
      </c>
      <c r="I10" s="2"/>
      <c r="J10" s="2"/>
      <c r="K10" s="2" t="e">
        <f>_xlfn.XLOOKUP(CAL[[#This Row],[Registration]],[1]Subscriptions!$A:$A,[1]Subscriptions!#REF!)</f>
        <v>#REF!</v>
      </c>
    </row>
    <row r="11" spans="1:11" x14ac:dyDescent="0.25">
      <c r="A11" s="2" t="s">
        <v>35</v>
      </c>
      <c r="B11" s="2">
        <v>191</v>
      </c>
      <c r="C11" s="2" t="s">
        <v>39</v>
      </c>
      <c r="D11" s="2" t="s">
        <v>40</v>
      </c>
      <c r="E11" s="2" t="s">
        <v>41</v>
      </c>
      <c r="F11" s="2" t="s">
        <v>15</v>
      </c>
      <c r="G11" s="2"/>
      <c r="H11" s="2" t="e">
        <f>_xlfn.XMATCH(CAL[[#This Row],[Allocated Tech]],CAL[[#This Row],[Fleet check Driver logged in]],0)</f>
        <v>#N/A</v>
      </c>
      <c r="I11" s="2"/>
      <c r="J11" s="2"/>
      <c r="K11" s="2" t="e">
        <f>_xlfn.XLOOKUP(CAL[[#This Row],[Registration]],[1]Subscriptions!$A:$A,[1]Subscriptions!#REF!)</f>
        <v>#REF!</v>
      </c>
    </row>
    <row r="12" spans="1:11" x14ac:dyDescent="0.25">
      <c r="A12" s="2" t="s">
        <v>35</v>
      </c>
      <c r="B12" s="2">
        <v>150</v>
      </c>
      <c r="C12" s="2" t="s">
        <v>42</v>
      </c>
      <c r="D12" s="2" t="s">
        <v>43</v>
      </c>
      <c r="E12" s="2" t="s">
        <v>44</v>
      </c>
      <c r="F12" s="2" t="s">
        <v>15</v>
      </c>
      <c r="G12" s="2"/>
      <c r="H12" s="2">
        <f>_xlfn.XMATCH(CAL[[#This Row],[Allocated Tech]],CAL[[#This Row],[Fleet check Driver logged in]],0)</f>
        <v>1</v>
      </c>
      <c r="I12" s="2"/>
      <c r="J12" s="2"/>
      <c r="K12" s="2" t="e">
        <f>_xlfn.XLOOKUP(CAL[[#This Row],[Registration]],[1]Subscriptions!$A:$A,[1]Subscriptions!#REF!)</f>
        <v>#REF!</v>
      </c>
    </row>
    <row r="13" spans="1:11" x14ac:dyDescent="0.25">
      <c r="A13" s="2" t="s">
        <v>35</v>
      </c>
      <c r="B13" s="2">
        <v>152</v>
      </c>
      <c r="C13" s="2" t="s">
        <v>45</v>
      </c>
      <c r="D13" s="2" t="s">
        <v>46</v>
      </c>
      <c r="E13" s="2" t="s">
        <v>47</v>
      </c>
      <c r="F13" s="2" t="s">
        <v>15</v>
      </c>
      <c r="G13" s="2"/>
      <c r="H13" s="2">
        <f>_xlfn.XMATCH(CAL[[#This Row],[Allocated Tech]],CAL[[#This Row],[Fleet check Driver logged in]],0)</f>
        <v>1</v>
      </c>
      <c r="I13" s="2"/>
      <c r="J13" s="2"/>
      <c r="K13" s="2" t="e">
        <f>_xlfn.XLOOKUP(CAL[[#This Row],[Registration]],[1]Subscriptions!$A:$A,[1]Subscriptions!#REF!)</f>
        <v>#REF!</v>
      </c>
    </row>
    <row r="14" spans="1:11" x14ac:dyDescent="0.25">
      <c r="A14" s="2" t="s">
        <v>35</v>
      </c>
      <c r="B14" s="2">
        <v>703</v>
      </c>
      <c r="C14" s="2" t="s">
        <v>48</v>
      </c>
      <c r="D14" s="2" t="s">
        <v>49</v>
      </c>
      <c r="E14" s="2" t="s">
        <v>50</v>
      </c>
      <c r="F14" s="2" t="s">
        <v>15</v>
      </c>
      <c r="G14" s="2"/>
      <c r="H14" s="2" t="e">
        <f>_xlfn.XMATCH(CAL[[#This Row],[Allocated Tech]],CAL[[#This Row],[Fleet check Driver logged in]],0)</f>
        <v>#N/A</v>
      </c>
      <c r="I14" s="2"/>
      <c r="J14" s="2"/>
      <c r="K14" s="2" t="e">
        <f>_xlfn.XLOOKUP(CAL[[#This Row],[Registration]],[1]Subscriptions!$A:$A,[1]Subscriptions!#REF!)</f>
        <v>#REF!</v>
      </c>
    </row>
    <row r="15" spans="1:11" x14ac:dyDescent="0.25">
      <c r="A15" s="2" t="s">
        <v>35</v>
      </c>
      <c r="B15" s="2"/>
      <c r="C15" s="2" t="s">
        <v>51</v>
      </c>
      <c r="D15" s="2"/>
      <c r="E15" s="2"/>
      <c r="F15" s="2" t="s">
        <v>15</v>
      </c>
      <c r="G15" s="2"/>
      <c r="H15" s="2">
        <f>_xlfn.XMATCH(CAL[[#This Row],[Allocated Tech]],CAL[[#This Row],[Fleet check Driver logged in]],0)</f>
        <v>1</v>
      </c>
      <c r="I15" s="2"/>
      <c r="J15" s="2"/>
      <c r="K15" s="2" t="e">
        <f>_xlfn.XLOOKUP(CAL[[#This Row],[Registration]],[1]Subscriptions!$A:$A,[1]Subscriptions!#REF!)</f>
        <v>#REF!</v>
      </c>
    </row>
    <row r="16" spans="1:11" x14ac:dyDescent="0.25">
      <c r="A16" s="2" t="s">
        <v>35</v>
      </c>
      <c r="B16" s="2"/>
      <c r="C16" s="2" t="s">
        <v>52</v>
      </c>
      <c r="D16" s="2"/>
      <c r="E16" s="2"/>
      <c r="F16" s="2" t="s">
        <v>15</v>
      </c>
      <c r="G16" s="2"/>
      <c r="H16" s="2">
        <f>_xlfn.XMATCH(CAL[[#This Row],[Allocated Tech]],CAL[[#This Row],[Fleet check Driver logged in]],0)</f>
        <v>1</v>
      </c>
      <c r="I16" s="2"/>
      <c r="J16" s="2"/>
      <c r="K16" s="2" t="e">
        <f>_xlfn.XLOOKUP(CAL[[#This Row],[Registration]],[1]Subscriptions!$A:$A,[1]Subscriptions!#REF!)</f>
        <v>#REF!</v>
      </c>
    </row>
    <row r="17" spans="1:11" x14ac:dyDescent="0.25">
      <c r="A17" s="2" t="s">
        <v>35</v>
      </c>
      <c r="B17" s="2">
        <v>102</v>
      </c>
      <c r="C17" s="2" t="s">
        <v>53</v>
      </c>
      <c r="D17" s="2" t="s">
        <v>54</v>
      </c>
      <c r="E17" s="2" t="s">
        <v>55</v>
      </c>
      <c r="F17" s="2" t="s">
        <v>15</v>
      </c>
      <c r="G17" s="2"/>
      <c r="H17" s="2">
        <f>_xlfn.XMATCH(CAL[[#This Row],[Allocated Tech]],CAL[[#This Row],[Fleet check Driver logged in]],0)</f>
        <v>1</v>
      </c>
      <c r="I17" s="2"/>
      <c r="J17" s="2"/>
      <c r="K17" s="2" t="e">
        <f>_xlfn.XLOOKUP(CAL[[#This Row],[Registration]],[1]Subscriptions!$A:$A,[1]Subscriptions!#REF!)</f>
        <v>#REF!</v>
      </c>
    </row>
    <row r="18" spans="1:11" x14ac:dyDescent="0.25">
      <c r="A18" s="2" t="s">
        <v>35</v>
      </c>
      <c r="B18" s="2">
        <v>670</v>
      </c>
      <c r="C18" s="2" t="s">
        <v>56</v>
      </c>
      <c r="D18" s="2" t="s">
        <v>57</v>
      </c>
      <c r="E18" s="2" t="s">
        <v>58</v>
      </c>
      <c r="F18" s="2" t="s">
        <v>15</v>
      </c>
      <c r="G18" s="2"/>
      <c r="H18" s="2" t="e">
        <f>_xlfn.XMATCH(CAL[[#This Row],[Allocated Tech]],CAL[[#This Row],[Fleet check Driver logged in]],0)</f>
        <v>#N/A</v>
      </c>
      <c r="I18" s="2"/>
      <c r="J18" s="2"/>
      <c r="K18" s="2" t="e">
        <f>_xlfn.XLOOKUP(CAL[[#This Row],[Registration]],[1]Subscriptions!$A:$A,[1]Subscriptions!#REF!)</f>
        <v>#REF!</v>
      </c>
    </row>
    <row r="19" spans="1:11" x14ac:dyDescent="0.25">
      <c r="A19" s="2" t="s">
        <v>35</v>
      </c>
      <c r="B19" s="2">
        <v>671</v>
      </c>
      <c r="C19" s="2" t="s">
        <v>59</v>
      </c>
      <c r="D19" s="2" t="s">
        <v>60</v>
      </c>
      <c r="E19" s="2" t="s">
        <v>61</v>
      </c>
      <c r="F19" s="2" t="s">
        <v>15</v>
      </c>
      <c r="G19" s="2"/>
      <c r="H19" s="2">
        <f>_xlfn.XMATCH(CAL[[#This Row],[Allocated Tech]],CAL[[#This Row],[Fleet check Driver logged in]],0)</f>
        <v>1</v>
      </c>
      <c r="I19" s="2"/>
      <c r="J19" s="2"/>
      <c r="K19" s="2" t="e">
        <f>_xlfn.XLOOKUP(CAL[[#This Row],[Registration]],[1]Subscriptions!$A:$A,[1]Subscriptions!#REF!)</f>
        <v>#REF!</v>
      </c>
    </row>
    <row r="20" spans="1:11" x14ac:dyDescent="0.25">
      <c r="A20" s="2" t="s">
        <v>35</v>
      </c>
      <c r="B20" s="2">
        <v>263</v>
      </c>
      <c r="C20" s="2" t="s">
        <v>62</v>
      </c>
      <c r="D20" s="2" t="s">
        <v>63</v>
      </c>
      <c r="E20" s="2" t="s">
        <v>64</v>
      </c>
      <c r="F20" s="2" t="s">
        <v>15</v>
      </c>
      <c r="G20" s="2"/>
      <c r="H20" s="2">
        <f>_xlfn.XMATCH(CAL[[#This Row],[Allocated Tech]],CAL[[#This Row],[Fleet check Driver logged in]],0)</f>
        <v>1</v>
      </c>
      <c r="I20" s="2"/>
      <c r="J20" s="2"/>
      <c r="K20" s="2" t="e">
        <f>_xlfn.XLOOKUP(CAL[[#This Row],[Registration]],[1]Subscriptions!$A:$A,[1]Subscriptions!#REF!)</f>
        <v>#REF!</v>
      </c>
    </row>
    <row r="21" spans="1:11" x14ac:dyDescent="0.25">
      <c r="A21" s="2" t="s">
        <v>35</v>
      </c>
      <c r="B21" s="2">
        <v>202</v>
      </c>
      <c r="C21" s="2" t="s">
        <v>65</v>
      </c>
      <c r="D21" s="2" t="s">
        <v>34</v>
      </c>
      <c r="E21" s="2" t="s">
        <v>66</v>
      </c>
      <c r="F21" s="2" t="s">
        <v>15</v>
      </c>
      <c r="G21" s="2"/>
      <c r="H21" s="2" t="e">
        <f>_xlfn.XMATCH(CAL[[#This Row],[Allocated Tech]],CAL[[#This Row],[Fleet check Driver logged in]],0)</f>
        <v>#N/A</v>
      </c>
      <c r="I21" s="2"/>
      <c r="J21" s="2"/>
      <c r="K21" s="2" t="e">
        <f>_xlfn.XLOOKUP(CAL[[#This Row],[Registration]],[1]Subscriptions!$A:$A,[1]Subscriptions!#REF!)</f>
        <v>#REF!</v>
      </c>
    </row>
    <row r="22" spans="1:11" x14ac:dyDescent="0.25">
      <c r="A22" s="2" t="s">
        <v>35</v>
      </c>
      <c r="B22" s="2">
        <v>149</v>
      </c>
      <c r="C22" s="2" t="s">
        <v>67</v>
      </c>
      <c r="D22" s="2" t="s">
        <v>68</v>
      </c>
      <c r="E22" s="2" t="s">
        <v>69</v>
      </c>
      <c r="F22" s="2" t="s">
        <v>15</v>
      </c>
      <c r="G22" s="2"/>
      <c r="H22" s="2">
        <f>_xlfn.XMATCH(CAL[[#This Row],[Allocated Tech]],CAL[[#This Row],[Fleet check Driver logged in]],0)</f>
        <v>1</v>
      </c>
      <c r="I22" s="2"/>
      <c r="J22" s="2"/>
      <c r="K22" s="2" t="e">
        <f>_xlfn.XLOOKUP(CAL[[#This Row],[Registration]],[1]Subscriptions!$A:$A,[1]Subscriptions!#REF!)</f>
        <v>#REF!</v>
      </c>
    </row>
    <row r="23" spans="1:11" x14ac:dyDescent="0.25">
      <c r="A23" s="2" t="s">
        <v>35</v>
      </c>
      <c r="B23" s="2">
        <v>194</v>
      </c>
      <c r="C23" s="2" t="s">
        <v>70</v>
      </c>
      <c r="D23" s="2" t="s">
        <v>71</v>
      </c>
      <c r="E23" s="2" t="s">
        <v>72</v>
      </c>
      <c r="F23" s="2" t="s">
        <v>15</v>
      </c>
      <c r="G23" s="2"/>
      <c r="H23" s="2" t="e">
        <f>_xlfn.XMATCH(CAL[[#This Row],[Allocated Tech]],CAL[[#This Row],[Fleet check Driver logged in]],0)</f>
        <v>#N/A</v>
      </c>
      <c r="I23" s="2"/>
      <c r="J23" s="2"/>
      <c r="K23" s="2" t="e">
        <f>_xlfn.XLOOKUP(CAL[[#This Row],[Registration]],[1]Subscriptions!$A:$A,[1]Subscriptions!#REF!)</f>
        <v>#REF!</v>
      </c>
    </row>
    <row r="24" spans="1:11" x14ac:dyDescent="0.25">
      <c r="A24" s="2" t="s">
        <v>35</v>
      </c>
      <c r="B24" s="2">
        <v>354</v>
      </c>
      <c r="C24" s="2" t="s">
        <v>73</v>
      </c>
      <c r="D24" s="2" t="s">
        <v>74</v>
      </c>
      <c r="E24" s="2" t="s">
        <v>75</v>
      </c>
      <c r="F24" s="2" t="s">
        <v>15</v>
      </c>
      <c r="G24" s="2"/>
      <c r="H24" s="2">
        <f>_xlfn.XMATCH(CAL[[#This Row],[Allocated Tech]],CAL[[#This Row],[Fleet check Driver logged in]],0)</f>
        <v>1</v>
      </c>
      <c r="I24" s="2"/>
      <c r="J24" s="2"/>
      <c r="K24" s="2" t="e">
        <f>_xlfn.XLOOKUP(CAL[[#This Row],[Registration]],[1]Subscriptions!$A:$A,[1]Subscriptions!#REF!)</f>
        <v>#REF!</v>
      </c>
    </row>
    <row r="25" spans="1:11" x14ac:dyDescent="0.25">
      <c r="A25" s="2" t="s">
        <v>35</v>
      </c>
      <c r="B25" s="2">
        <v>517</v>
      </c>
      <c r="C25" s="2" t="s">
        <v>76</v>
      </c>
      <c r="D25" s="2" t="s">
        <v>77</v>
      </c>
      <c r="E25" s="2" t="s">
        <v>78</v>
      </c>
      <c r="F25" s="2" t="s">
        <v>15</v>
      </c>
      <c r="G25" s="2"/>
      <c r="H25" s="2">
        <f>_xlfn.XMATCH(CAL[[#This Row],[Allocated Tech]],CAL[[#This Row],[Fleet check Driver logged in]],0)</f>
        <v>1</v>
      </c>
      <c r="I25" s="2"/>
      <c r="J25" s="2"/>
      <c r="K25" s="2" t="e">
        <f>_xlfn.XLOOKUP(CAL[[#This Row],[Registration]],[1]Subscriptions!$A:$A,[1]Subscriptions!#REF!)</f>
        <v>#REF!</v>
      </c>
    </row>
    <row r="26" spans="1:11" x14ac:dyDescent="0.25">
      <c r="A26" s="2" t="s">
        <v>35</v>
      </c>
      <c r="B26" s="2">
        <v>153</v>
      </c>
      <c r="C26" s="2" t="s">
        <v>79</v>
      </c>
      <c r="D26" s="2" t="s">
        <v>80</v>
      </c>
      <c r="E26" s="2" t="s">
        <v>81</v>
      </c>
      <c r="F26" s="2" t="s">
        <v>15</v>
      </c>
      <c r="G26" s="2"/>
      <c r="H26" s="2" t="e">
        <f>_xlfn.XMATCH(CAL[[#This Row],[Allocated Tech]],CAL[[#This Row],[Fleet check Driver logged in]],0)</f>
        <v>#N/A</v>
      </c>
      <c r="I26" s="2"/>
      <c r="J26" s="2"/>
      <c r="K26" s="2" t="e">
        <f>_xlfn.XLOOKUP(CAL[[#This Row],[Registration]],[1]Subscriptions!$A:$A,[1]Subscriptions!#REF!)</f>
        <v>#REF!</v>
      </c>
    </row>
    <row r="27" spans="1:11" x14ac:dyDescent="0.25">
      <c r="A27" s="2" t="s">
        <v>35</v>
      </c>
      <c r="B27" s="2">
        <v>220</v>
      </c>
      <c r="C27" s="2" t="s">
        <v>82</v>
      </c>
      <c r="D27" s="2" t="s">
        <v>83</v>
      </c>
      <c r="E27" s="2" t="s">
        <v>84</v>
      </c>
      <c r="F27" s="2" t="s">
        <v>15</v>
      </c>
      <c r="G27" s="2"/>
      <c r="H27" s="2">
        <f>_xlfn.XMATCH(CAL[[#This Row],[Allocated Tech]],CAL[[#This Row],[Fleet check Driver logged in]],0)</f>
        <v>1</v>
      </c>
      <c r="I27" s="2"/>
      <c r="J27" s="2"/>
      <c r="K27" s="2" t="e">
        <f>_xlfn.XLOOKUP(CAL[[#This Row],[Registration]],[1]Subscriptions!$A:$A,[1]Subscriptions!#REF!)</f>
        <v>#REF!</v>
      </c>
    </row>
    <row r="28" spans="1:11" x14ac:dyDescent="0.25">
      <c r="A28" s="2" t="s">
        <v>35</v>
      </c>
      <c r="B28" s="2">
        <v>518</v>
      </c>
      <c r="C28" s="2" t="s">
        <v>85</v>
      </c>
      <c r="D28" s="2" t="s">
        <v>86</v>
      </c>
      <c r="E28" s="2" t="s">
        <v>87</v>
      </c>
      <c r="F28" s="2" t="s">
        <v>15</v>
      </c>
      <c r="G28" s="2"/>
      <c r="H28" s="2">
        <f>_xlfn.XMATCH(CAL[[#This Row],[Allocated Tech]],CAL[[#This Row],[Fleet check Driver logged in]],0)</f>
        <v>1</v>
      </c>
      <c r="I28" s="2"/>
      <c r="J28" s="2"/>
      <c r="K28" s="2" t="e">
        <f>_xlfn.XLOOKUP(CAL[[#This Row],[Registration]],[1]Subscriptions!$A:$A,[1]Subscriptions!#REF!)</f>
        <v>#REF!</v>
      </c>
    </row>
    <row r="29" spans="1:11" x14ac:dyDescent="0.25">
      <c r="A29" s="2" t="s">
        <v>35</v>
      </c>
      <c r="B29" s="2">
        <v>210</v>
      </c>
      <c r="C29" s="2" t="s">
        <v>88</v>
      </c>
      <c r="D29" s="2" t="s">
        <v>89</v>
      </c>
      <c r="E29" s="2" t="s">
        <v>90</v>
      </c>
      <c r="F29" s="2" t="s">
        <v>15</v>
      </c>
      <c r="G29" s="2"/>
      <c r="H29" s="2">
        <f>_xlfn.XMATCH(CAL[[#This Row],[Allocated Tech]],CAL[[#This Row],[Fleet check Driver logged in]],0)</f>
        <v>1</v>
      </c>
      <c r="I29" s="2"/>
      <c r="J29" s="2"/>
      <c r="K29" s="2" t="e">
        <f>_xlfn.XLOOKUP(CAL[[#This Row],[Registration]],[1]Subscriptions!$A:$A,[1]Subscriptions!#REF!)</f>
        <v>#REF!</v>
      </c>
    </row>
    <row r="30" spans="1:11" x14ac:dyDescent="0.25">
      <c r="A30" s="2" t="s">
        <v>35</v>
      </c>
      <c r="B30" s="2">
        <v>163</v>
      </c>
      <c r="C30" s="2" t="s">
        <v>91</v>
      </c>
      <c r="D30" s="2" t="s">
        <v>92</v>
      </c>
      <c r="E30" s="2" t="s">
        <v>93</v>
      </c>
      <c r="F30" s="2" t="s">
        <v>15</v>
      </c>
      <c r="G30" s="2"/>
      <c r="H30" s="2">
        <f>_xlfn.XMATCH(CAL[[#This Row],[Allocated Tech]],CAL[[#This Row],[Fleet check Driver logged in]],0)</f>
        <v>1</v>
      </c>
      <c r="I30" s="2"/>
      <c r="J30" s="2"/>
      <c r="K30" s="2" t="e">
        <f>_xlfn.XLOOKUP(CAL[[#This Row],[Registration]],[1]Subscriptions!$A:$A,[1]Subscriptions!#REF!)</f>
        <v>#REF!</v>
      </c>
    </row>
    <row r="31" spans="1:11" x14ac:dyDescent="0.25">
      <c r="A31" s="2" t="s">
        <v>35</v>
      </c>
      <c r="B31" s="2">
        <v>151</v>
      </c>
      <c r="C31" s="2" t="s">
        <v>94</v>
      </c>
      <c r="D31" s="2" t="s">
        <v>95</v>
      </c>
      <c r="E31" s="2" t="s">
        <v>96</v>
      </c>
      <c r="F31" s="2" t="s">
        <v>15</v>
      </c>
      <c r="G31" s="2"/>
      <c r="H31" s="2">
        <f>_xlfn.XMATCH(CAL[[#This Row],[Allocated Tech]],CAL[[#This Row],[Fleet check Driver logged in]],0)</f>
        <v>1</v>
      </c>
      <c r="I31" s="2"/>
      <c r="J31" s="2"/>
      <c r="K31" s="2" t="e">
        <f>_xlfn.XLOOKUP(CAL[[#This Row],[Registration]],[1]Subscriptions!$A:$A,[1]Subscriptions!#REF!)</f>
        <v>#REF!</v>
      </c>
    </row>
    <row r="32" spans="1:11" x14ac:dyDescent="0.25">
      <c r="A32" s="2" t="s">
        <v>35</v>
      </c>
      <c r="B32" s="2">
        <v>542</v>
      </c>
      <c r="C32" s="2" t="s">
        <v>97</v>
      </c>
      <c r="D32" s="2" t="s">
        <v>98</v>
      </c>
      <c r="E32" s="2" t="s">
        <v>99</v>
      </c>
      <c r="F32" s="2" t="s">
        <v>15</v>
      </c>
      <c r="G32" s="2"/>
      <c r="H32" s="2">
        <f>_xlfn.XMATCH(CAL[[#This Row],[Allocated Tech]],CAL[[#This Row],[Fleet check Driver logged in]],0)</f>
        <v>1</v>
      </c>
      <c r="I32" s="2"/>
      <c r="J32" s="2"/>
      <c r="K32" s="2" t="e">
        <f>_xlfn.XLOOKUP(CAL[[#This Row],[Registration]],[1]Subscriptions!$A:$A,[1]Subscriptions!#REF!)</f>
        <v>#REF!</v>
      </c>
    </row>
    <row r="33" spans="1:11" x14ac:dyDescent="0.25">
      <c r="A33" s="2" t="s">
        <v>35</v>
      </c>
      <c r="B33" s="2">
        <v>133</v>
      </c>
      <c r="C33" s="2" t="s">
        <v>100</v>
      </c>
      <c r="D33" s="2" t="s">
        <v>101</v>
      </c>
      <c r="E33" s="2"/>
      <c r="F33" s="2" t="s">
        <v>15</v>
      </c>
      <c r="G33" s="2"/>
      <c r="H33" s="2" t="e">
        <f>_xlfn.XMATCH(CAL[[#This Row],[Allocated Tech]],CAL[[#This Row],[Fleet check Driver logged in]],0)</f>
        <v>#N/A</v>
      </c>
      <c r="I33" s="2"/>
      <c r="J33" s="2"/>
      <c r="K33" s="2" t="e">
        <f>_xlfn.XLOOKUP(CAL[[#This Row],[Registration]],[1]Subscriptions!$A:$A,[1]Subscriptions!#REF!)</f>
        <v>#REF!</v>
      </c>
    </row>
    <row r="34" spans="1:11" x14ac:dyDescent="0.25">
      <c r="A34" s="2" t="s">
        <v>35</v>
      </c>
      <c r="B34" s="2">
        <v>217</v>
      </c>
      <c r="C34" s="2" t="s">
        <v>102</v>
      </c>
      <c r="D34" s="2" t="s">
        <v>103</v>
      </c>
      <c r="E34" s="2"/>
      <c r="F34" s="2" t="s">
        <v>15</v>
      </c>
      <c r="G34" s="2"/>
      <c r="H34" s="2" t="e">
        <f>_xlfn.XMATCH(CAL[[#This Row],[Allocated Tech]],CAL[[#This Row],[Fleet check Driver logged in]],0)</f>
        <v>#N/A</v>
      </c>
      <c r="I34" s="2"/>
      <c r="J34" s="2"/>
      <c r="K34" s="2" t="e">
        <f>_xlfn.XLOOKUP(CAL[[#This Row],[Registration]],[1]Subscriptions!$A:$A,[1]Subscriptions!#REF!)</f>
        <v>#REF!</v>
      </c>
    </row>
    <row r="35" spans="1:11" x14ac:dyDescent="0.25">
      <c r="A35" s="2" t="s">
        <v>35</v>
      </c>
      <c r="B35" s="2">
        <v>148</v>
      </c>
      <c r="C35" s="2" t="s">
        <v>104</v>
      </c>
      <c r="D35" s="2" t="s">
        <v>105</v>
      </c>
      <c r="E35" s="2" t="s">
        <v>106</v>
      </c>
      <c r="F35" s="2" t="s">
        <v>15</v>
      </c>
      <c r="G35" s="2"/>
      <c r="H35" s="2">
        <f>_xlfn.XMATCH(CAL[[#This Row],[Allocated Tech]],CAL[[#This Row],[Fleet check Driver logged in]],0)</f>
        <v>1</v>
      </c>
      <c r="I35" s="2"/>
      <c r="J35" s="2"/>
      <c r="K35" s="2" t="e">
        <f>_xlfn.XLOOKUP(CAL[[#This Row],[Registration]],[1]Subscriptions!$A:$A,[1]Subscriptions!#REF!)</f>
        <v>#REF!</v>
      </c>
    </row>
    <row r="36" spans="1:11" x14ac:dyDescent="0.25">
      <c r="A36" s="2" t="s">
        <v>35</v>
      </c>
      <c r="B36" s="2">
        <v>892</v>
      </c>
      <c r="C36" s="2" t="s">
        <v>107</v>
      </c>
      <c r="D36" s="2" t="s">
        <v>108</v>
      </c>
      <c r="E36" s="2" t="s">
        <v>109</v>
      </c>
      <c r="F36" s="2" t="s">
        <v>15</v>
      </c>
      <c r="G36" s="2"/>
      <c r="H36" s="2">
        <f>_xlfn.XMATCH(CAL[[#This Row],[Allocated Tech]],CAL[[#This Row],[Fleet check Driver logged in]],0)</f>
        <v>1</v>
      </c>
      <c r="I36" s="2"/>
      <c r="J36" s="2"/>
      <c r="K36" s="2" t="e">
        <f>_xlfn.XLOOKUP(CAL[[#This Row],[Registration]],[1]Subscriptions!$A:$A,[1]Subscriptions!#REF!)</f>
        <v>#REF!</v>
      </c>
    </row>
    <row r="37" spans="1:11" x14ac:dyDescent="0.25">
      <c r="A37" s="2" t="s">
        <v>35</v>
      </c>
      <c r="B37" s="2">
        <v>706</v>
      </c>
      <c r="C37" s="2" t="s">
        <v>110</v>
      </c>
      <c r="D37" s="2" t="s">
        <v>111</v>
      </c>
      <c r="E37" s="2"/>
      <c r="F37" s="2" t="s">
        <v>15</v>
      </c>
      <c r="G37" s="2"/>
      <c r="H37" s="2" t="e">
        <f>_xlfn.XMATCH(CAL[[#This Row],[Allocated Tech]],CAL[[#This Row],[Fleet check Driver logged in]],0)</f>
        <v>#N/A</v>
      </c>
      <c r="I37" s="2"/>
      <c r="J37" s="2"/>
      <c r="K37" s="2" t="e">
        <f>_xlfn.XLOOKUP(CAL[[#This Row],[Registration]],[1]Subscriptions!$A:$A,[1]Subscriptions!#REF!)</f>
        <v>#REF!</v>
      </c>
    </row>
    <row r="38" spans="1:11" x14ac:dyDescent="0.25">
      <c r="A38" s="2" t="s">
        <v>35</v>
      </c>
      <c r="B38" s="2">
        <v>594</v>
      </c>
      <c r="C38" s="2" t="s">
        <v>112</v>
      </c>
      <c r="D38" s="2" t="s">
        <v>113</v>
      </c>
      <c r="E38" s="2" t="s">
        <v>114</v>
      </c>
      <c r="F38" s="2" t="s">
        <v>15</v>
      </c>
      <c r="G38" s="2"/>
      <c r="H38" s="2" t="e">
        <f>_xlfn.XMATCH(CAL[[#This Row],[Allocated Tech]],CAL[[#This Row],[Fleet check Driver logged in]],0)</f>
        <v>#N/A</v>
      </c>
      <c r="I38" s="2"/>
      <c r="J38" s="2"/>
      <c r="K38" s="2" t="e">
        <f>_xlfn.XLOOKUP(CAL[[#This Row],[Registration]],[1]Subscriptions!$A:$A,[1]Subscriptions!#REF!)</f>
        <v>#REF!</v>
      </c>
    </row>
    <row r="39" spans="1:11" x14ac:dyDescent="0.25">
      <c r="A39" s="2" t="s">
        <v>35</v>
      </c>
      <c r="B39" s="2">
        <v>228</v>
      </c>
      <c r="C39" s="2" t="s">
        <v>115</v>
      </c>
      <c r="D39" s="2" t="s">
        <v>116</v>
      </c>
      <c r="E39" s="2" t="s">
        <v>117</v>
      </c>
      <c r="F39" s="2" t="s">
        <v>15</v>
      </c>
      <c r="G39" s="2"/>
      <c r="H39" s="2">
        <f>_xlfn.XMATCH(CAL[[#This Row],[Allocated Tech]],CAL[[#This Row],[Fleet check Driver logged in]],0)</f>
        <v>1</v>
      </c>
      <c r="I39" s="2"/>
      <c r="J39" s="2"/>
      <c r="K39" s="2" t="e">
        <f>_xlfn.XLOOKUP(CAL[[#This Row],[Registration]],[1]Subscriptions!$A:$A,[1]Subscriptions!#REF!)</f>
        <v>#REF!</v>
      </c>
    </row>
    <row r="40" spans="1:11" x14ac:dyDescent="0.25">
      <c r="A40" s="2" t="s">
        <v>35</v>
      </c>
      <c r="B40" s="2">
        <v>922</v>
      </c>
      <c r="C40" s="2" t="s">
        <v>118</v>
      </c>
      <c r="D40" s="2" t="s">
        <v>119</v>
      </c>
      <c r="E40" s="2" t="s">
        <v>120</v>
      </c>
      <c r="F40" s="2" t="s">
        <v>15</v>
      </c>
      <c r="G40" s="2"/>
      <c r="H40" s="2">
        <f>_xlfn.XMATCH(CAL[[#This Row],[Allocated Tech]],CAL[[#This Row],[Fleet check Driver logged in]],0)</f>
        <v>1</v>
      </c>
      <c r="I40" s="2"/>
      <c r="J40" s="2"/>
      <c r="K40" s="2" t="e">
        <f>_xlfn.XLOOKUP(CAL[[#This Row],[Registration]],[1]Subscriptions!$A:$A,[1]Subscriptions!#REF!)</f>
        <v>#REF!</v>
      </c>
    </row>
    <row r="41" spans="1:11" x14ac:dyDescent="0.25">
      <c r="A41" s="2" t="s">
        <v>35</v>
      </c>
      <c r="B41" s="2">
        <v>720</v>
      </c>
      <c r="C41" s="2" t="s">
        <v>121</v>
      </c>
      <c r="D41" s="2" t="s">
        <v>122</v>
      </c>
      <c r="E41" s="2" t="s">
        <v>123</v>
      </c>
      <c r="F41" s="2" t="s">
        <v>15</v>
      </c>
      <c r="G41" s="2"/>
      <c r="H41" s="2">
        <f>_xlfn.XMATCH(CAL[[#This Row],[Allocated Tech]],CAL[[#This Row],[Fleet check Driver logged in]],0)</f>
        <v>1</v>
      </c>
      <c r="I41" s="2"/>
      <c r="J41" s="2"/>
      <c r="K41" s="2" t="e">
        <f>_xlfn.XLOOKUP(CAL[[#This Row],[Registration]],[1]Subscriptions!$A:$A,[1]Subscriptions!#REF!)</f>
        <v>#REF!</v>
      </c>
    </row>
    <row r="42" spans="1:11" x14ac:dyDescent="0.25">
      <c r="A42" s="2" t="s">
        <v>35</v>
      </c>
      <c r="B42" s="2">
        <v>300</v>
      </c>
      <c r="C42" s="2" t="s">
        <v>124</v>
      </c>
      <c r="D42" s="2" t="s">
        <v>125</v>
      </c>
      <c r="E42" s="2" t="s">
        <v>126</v>
      </c>
      <c r="F42" s="2" t="s">
        <v>15</v>
      </c>
      <c r="G42" s="2"/>
      <c r="H42" s="2" t="e">
        <f>_xlfn.XMATCH(CAL[[#This Row],[Allocated Tech]],CAL[[#This Row],[Fleet check Driver logged in]],0)</f>
        <v>#N/A</v>
      </c>
      <c r="I42" s="2"/>
      <c r="J42" s="2"/>
      <c r="K42" s="2" t="e">
        <f>_xlfn.XLOOKUP(CAL[[#This Row],[Registration]],[1]Subscriptions!$A:$A,[1]Subscriptions!#REF!)</f>
        <v>#REF!</v>
      </c>
    </row>
    <row r="43" spans="1:11" x14ac:dyDescent="0.25">
      <c r="A43" s="2" t="s">
        <v>35</v>
      </c>
      <c r="B43" s="2">
        <v>290</v>
      </c>
      <c r="C43" s="2" t="s">
        <v>127</v>
      </c>
      <c r="D43" s="2" t="s">
        <v>128</v>
      </c>
      <c r="E43" s="2" t="s">
        <v>129</v>
      </c>
      <c r="F43" s="2" t="s">
        <v>15</v>
      </c>
      <c r="G43" s="2"/>
      <c r="H43" s="2">
        <f>_xlfn.XMATCH(CAL[[#This Row],[Allocated Tech]],CAL[[#This Row],[Fleet check Driver logged in]],0)</f>
        <v>1</v>
      </c>
      <c r="I43" s="2"/>
      <c r="J43" s="2"/>
      <c r="K43" s="2" t="e">
        <f>_xlfn.XLOOKUP(CAL[[#This Row],[Registration]],[1]Subscriptions!$A:$A,[1]Subscriptions!#REF!)</f>
        <v>#REF!</v>
      </c>
    </row>
    <row r="44" spans="1:11" x14ac:dyDescent="0.25">
      <c r="A44" s="2" t="s">
        <v>35</v>
      </c>
      <c r="B44" s="2">
        <v>397</v>
      </c>
      <c r="C44" s="2" t="s">
        <v>130</v>
      </c>
      <c r="D44" s="2" t="s">
        <v>131</v>
      </c>
      <c r="E44" s="2" t="s">
        <v>132</v>
      </c>
      <c r="F44" s="2" t="s">
        <v>15</v>
      </c>
      <c r="G44" s="2"/>
      <c r="H44" s="2">
        <f>_xlfn.XMATCH(CAL[[#This Row],[Allocated Tech]],CAL[[#This Row],[Fleet check Driver logged in]],0)</f>
        <v>1</v>
      </c>
      <c r="I44" s="2"/>
      <c r="J44" s="2"/>
      <c r="K44" s="2" t="e">
        <f>_xlfn.XLOOKUP(CAL[[#This Row],[Registration]],[1]Subscriptions!$A:$A,[1]Subscriptions!#REF!)</f>
        <v>#REF!</v>
      </c>
    </row>
    <row r="45" spans="1:11" x14ac:dyDescent="0.25">
      <c r="A45" s="2" t="s">
        <v>35</v>
      </c>
      <c r="B45" s="2">
        <v>246</v>
      </c>
      <c r="C45" s="2" t="s">
        <v>133</v>
      </c>
      <c r="D45" s="2" t="s">
        <v>134</v>
      </c>
      <c r="E45" s="2" t="s">
        <v>135</v>
      </c>
      <c r="F45" s="2" t="s">
        <v>15</v>
      </c>
      <c r="G45" s="2"/>
      <c r="H45" s="2">
        <f>_xlfn.XMATCH(CAL[[#This Row],[Allocated Tech]],CAL[[#This Row],[Fleet check Driver logged in]],0)</f>
        <v>1</v>
      </c>
      <c r="I45" s="2"/>
      <c r="J45" s="2"/>
      <c r="K45" s="2" t="e">
        <f>_xlfn.XLOOKUP(CAL[[#This Row],[Registration]],[1]Subscriptions!$A:$A,[1]Subscriptions!#REF!)</f>
        <v>#REF!</v>
      </c>
    </row>
    <row r="46" spans="1:11" x14ac:dyDescent="0.25">
      <c r="A46" s="2" t="s">
        <v>35</v>
      </c>
      <c r="B46" s="2">
        <v>218</v>
      </c>
      <c r="C46" s="2" t="s">
        <v>136</v>
      </c>
      <c r="D46" s="2" t="s">
        <v>137</v>
      </c>
      <c r="E46" s="2" t="s">
        <v>138</v>
      </c>
      <c r="F46" s="2" t="s">
        <v>15</v>
      </c>
      <c r="G46" s="2"/>
      <c r="H46" s="2">
        <f>_xlfn.XMATCH(CAL[[#This Row],[Allocated Tech]],CAL[[#This Row],[Fleet check Driver logged in]],0)</f>
        <v>1</v>
      </c>
      <c r="I46" s="2"/>
      <c r="J46" s="2"/>
      <c r="K46" s="2" t="e">
        <f>_xlfn.XLOOKUP(CAL[[#This Row],[Registration]],[1]Subscriptions!$A:$A,[1]Subscriptions!#REF!)</f>
        <v>#REF!</v>
      </c>
    </row>
    <row r="47" spans="1:11" x14ac:dyDescent="0.25">
      <c r="A47" s="2" t="s">
        <v>35</v>
      </c>
      <c r="B47" s="2">
        <v>921</v>
      </c>
      <c r="C47" s="2" t="s">
        <v>139</v>
      </c>
      <c r="D47" s="2" t="s">
        <v>140</v>
      </c>
      <c r="E47" s="2" t="s">
        <v>141</v>
      </c>
      <c r="F47" s="2" t="s">
        <v>15</v>
      </c>
      <c r="G47" s="2"/>
      <c r="H47" s="2">
        <f>_xlfn.XMATCH(CAL[[#This Row],[Allocated Tech]],CAL[[#This Row],[Fleet check Driver logged in]],0)</f>
        <v>1</v>
      </c>
      <c r="I47" s="2"/>
      <c r="J47" s="2"/>
      <c r="K47" s="2" t="e">
        <f>_xlfn.XLOOKUP(CAL[[#This Row],[Registration]],[1]Subscriptions!$A:$A,[1]Subscriptions!#REF!)</f>
        <v>#REF!</v>
      </c>
    </row>
    <row r="48" spans="1:11" x14ac:dyDescent="0.25">
      <c r="A48" s="2" t="s">
        <v>35</v>
      </c>
      <c r="B48" s="2">
        <v>141</v>
      </c>
      <c r="C48" s="2" t="s">
        <v>142</v>
      </c>
      <c r="D48" s="2" t="s">
        <v>143</v>
      </c>
      <c r="E48" s="2" t="s">
        <v>144</v>
      </c>
      <c r="F48" s="2" t="s">
        <v>15</v>
      </c>
      <c r="G48" s="2"/>
      <c r="H48" s="2">
        <f>_xlfn.XMATCH(CAL[[#This Row],[Allocated Tech]],CAL[[#This Row],[Fleet check Driver logged in]],0)</f>
        <v>1</v>
      </c>
      <c r="I48" s="2"/>
      <c r="J48" s="2"/>
      <c r="K48" s="2" t="e">
        <f>_xlfn.XLOOKUP(CAL[[#This Row],[Registration]],[1]Subscriptions!$A:$A,[1]Subscriptions!#REF!)</f>
        <v>#REF!</v>
      </c>
    </row>
    <row r="49" spans="1:11" x14ac:dyDescent="0.25">
      <c r="A49" s="2" t="s">
        <v>35</v>
      </c>
      <c r="B49" s="2">
        <v>198</v>
      </c>
      <c r="C49" s="2" t="s">
        <v>145</v>
      </c>
      <c r="D49" s="2" t="s">
        <v>146</v>
      </c>
      <c r="E49" s="2" t="s">
        <v>147</v>
      </c>
      <c r="F49" s="2" t="s">
        <v>15</v>
      </c>
      <c r="G49" s="2"/>
      <c r="H49" s="2">
        <f>_xlfn.XMATCH(CAL[[#This Row],[Allocated Tech]],CAL[[#This Row],[Fleet check Driver logged in]],0)</f>
        <v>1</v>
      </c>
      <c r="I49" s="2"/>
      <c r="J49" s="2"/>
      <c r="K49" s="2" t="e">
        <f>_xlfn.XLOOKUP(CAL[[#This Row],[Registration]],[1]Subscriptions!$A:$A,[1]Subscriptions!#REF!)</f>
        <v>#REF!</v>
      </c>
    </row>
    <row r="50" spans="1:11" x14ac:dyDescent="0.25">
      <c r="A50" s="2" t="s">
        <v>35</v>
      </c>
      <c r="B50" s="2">
        <v>287</v>
      </c>
      <c r="C50" s="2" t="s">
        <v>148</v>
      </c>
      <c r="D50" s="2" t="s">
        <v>149</v>
      </c>
      <c r="E50" s="2" t="s">
        <v>150</v>
      </c>
      <c r="F50" s="2" t="s">
        <v>15</v>
      </c>
      <c r="G50" s="2"/>
      <c r="H50" s="2" t="e">
        <f>_xlfn.XMATCH(CAL[[#This Row],[Allocated Tech]],CAL[[#This Row],[Fleet check Driver logged in]],0)</f>
        <v>#N/A</v>
      </c>
      <c r="I50" s="2"/>
      <c r="J50" s="2"/>
      <c r="K50" s="2" t="e">
        <f>_xlfn.XLOOKUP(CAL[[#This Row],[Registration]],[1]Subscriptions!$A:$A,[1]Subscriptions!#REF!)</f>
        <v>#REF!</v>
      </c>
    </row>
    <row r="51" spans="1:11" x14ac:dyDescent="0.25">
      <c r="A51" s="2" t="s">
        <v>35</v>
      </c>
      <c r="B51" s="2">
        <v>209</v>
      </c>
      <c r="C51" s="2" t="s">
        <v>151</v>
      </c>
      <c r="D51" s="2" t="s">
        <v>152</v>
      </c>
      <c r="E51" s="2" t="s">
        <v>153</v>
      </c>
      <c r="F51" s="2" t="s">
        <v>15</v>
      </c>
      <c r="G51" s="2"/>
      <c r="H51" s="2">
        <f>_xlfn.XMATCH(CAL[[#This Row],[Allocated Tech]],CAL[[#This Row],[Fleet check Driver logged in]],0)</f>
        <v>1</v>
      </c>
      <c r="I51" s="2"/>
      <c r="J51" s="2"/>
      <c r="K51" s="2" t="e">
        <f>_xlfn.XLOOKUP(CAL[[#This Row],[Registration]],[1]Subscriptions!$A:$A,[1]Subscriptions!#REF!)</f>
        <v>#REF!</v>
      </c>
    </row>
    <row r="52" spans="1:11" x14ac:dyDescent="0.25">
      <c r="A52" s="2" t="s">
        <v>35</v>
      </c>
      <c r="B52" s="2">
        <v>707</v>
      </c>
      <c r="C52" s="2" t="s">
        <v>154</v>
      </c>
      <c r="D52" s="2" t="s">
        <v>155</v>
      </c>
      <c r="E52" s="2"/>
      <c r="F52" s="2" t="s">
        <v>5</v>
      </c>
      <c r="G52" s="2"/>
      <c r="H52" s="2" t="e">
        <f>_xlfn.XMATCH(CAL[[#This Row],[Allocated Tech]],CAL[[#This Row],[Fleet check Driver logged in]],0)</f>
        <v>#N/A</v>
      </c>
      <c r="I52" s="2"/>
      <c r="J52" s="2"/>
      <c r="K52" s="2" t="e">
        <f>_xlfn.XLOOKUP(CAL[[#This Row],[Registration]],[1]Subscriptions!$A:$A,[1]Subscriptions!#REF!)</f>
        <v>#REF!</v>
      </c>
    </row>
    <row r="53" spans="1:11" x14ac:dyDescent="0.25">
      <c r="A53" s="2" t="s">
        <v>35</v>
      </c>
      <c r="B53" s="2">
        <v>140</v>
      </c>
      <c r="C53" s="2" t="s">
        <v>156</v>
      </c>
      <c r="D53" s="2" t="s">
        <v>157</v>
      </c>
      <c r="E53" s="2" t="s">
        <v>158</v>
      </c>
      <c r="F53" s="2" t="s">
        <v>15</v>
      </c>
      <c r="G53" s="2"/>
      <c r="H53" s="2">
        <f>_xlfn.XMATCH(CAL[[#This Row],[Allocated Tech]],CAL[[#This Row],[Fleet check Driver logged in]],0)</f>
        <v>1</v>
      </c>
      <c r="I53" s="2"/>
      <c r="J53" s="2"/>
      <c r="K53" s="2" t="e">
        <f>_xlfn.XLOOKUP(CAL[[#This Row],[Registration]],[1]Subscriptions!$A:$A,[1]Subscriptions!#REF!)</f>
        <v>#REF!</v>
      </c>
    </row>
    <row r="54" spans="1:11" x14ac:dyDescent="0.25">
      <c r="A54" s="2" t="s">
        <v>35</v>
      </c>
      <c r="B54" s="2">
        <v>192</v>
      </c>
      <c r="C54" s="2" t="s">
        <v>159</v>
      </c>
      <c r="D54" s="2" t="s">
        <v>160</v>
      </c>
      <c r="E54" s="2" t="s">
        <v>161</v>
      </c>
      <c r="F54" s="2" t="s">
        <v>15</v>
      </c>
      <c r="G54" s="2"/>
      <c r="H54" s="2">
        <f>_xlfn.XMATCH(CAL[[#This Row],[Allocated Tech]],CAL[[#This Row],[Fleet check Driver logged in]],0)</f>
        <v>1</v>
      </c>
      <c r="I54" s="2"/>
      <c r="J54" s="2"/>
      <c r="K54" s="2" t="e">
        <f>_xlfn.XLOOKUP(CAL[[#This Row],[Registration]],[1]Subscriptions!$A:$A,[1]Subscriptions!#REF!)</f>
        <v>#REF!</v>
      </c>
    </row>
    <row r="55" spans="1:11" x14ac:dyDescent="0.25">
      <c r="A55" s="2" t="s">
        <v>35</v>
      </c>
      <c r="B55" s="2">
        <v>201</v>
      </c>
      <c r="C55" s="2" t="s">
        <v>162</v>
      </c>
      <c r="D55" s="2" t="s">
        <v>163</v>
      </c>
      <c r="E55" s="2" t="s">
        <v>164</v>
      </c>
      <c r="F55" s="2" t="s">
        <v>15</v>
      </c>
      <c r="G55" s="2"/>
      <c r="H55" s="2">
        <f>_xlfn.XMATCH(CAL[[#This Row],[Allocated Tech]],CAL[[#This Row],[Fleet check Driver logged in]],0)</f>
        <v>1</v>
      </c>
      <c r="I55" s="2"/>
      <c r="J55" s="2"/>
      <c r="K55" s="2" t="e">
        <f>_xlfn.XLOOKUP(CAL[[#This Row],[Registration]],[1]Subscriptions!$A:$A,[1]Subscriptions!#REF!)</f>
        <v>#REF!</v>
      </c>
    </row>
    <row r="56" spans="1:11" x14ac:dyDescent="0.25">
      <c r="A56" s="2" t="s">
        <v>35</v>
      </c>
      <c r="B56" s="2">
        <v>316</v>
      </c>
      <c r="C56" s="2" t="s">
        <v>165</v>
      </c>
      <c r="D56" s="2" t="s">
        <v>166</v>
      </c>
      <c r="E56" s="2"/>
      <c r="F56" s="2" t="s">
        <v>5</v>
      </c>
      <c r="G56" s="2"/>
      <c r="H56" s="2" t="e">
        <f>_xlfn.XMATCH(CAL[[#This Row],[Allocated Tech]],CAL[[#This Row],[Fleet check Driver logged in]],0)</f>
        <v>#N/A</v>
      </c>
      <c r="I56" s="2"/>
      <c r="J56" s="2"/>
      <c r="K56" s="2" t="e">
        <f>_xlfn.XLOOKUP(CAL[[#This Row],[Registration]],[1]Subscriptions!$A:$A,[1]Subscriptions!#REF!)</f>
        <v>#REF!</v>
      </c>
    </row>
    <row r="57" spans="1:11" x14ac:dyDescent="0.25">
      <c r="A57" s="2" t="s">
        <v>35</v>
      </c>
      <c r="B57" s="2">
        <v>327</v>
      </c>
      <c r="C57" s="2" t="s">
        <v>167</v>
      </c>
      <c r="D57" s="2" t="s">
        <v>155</v>
      </c>
      <c r="E57" s="2" t="s">
        <v>168</v>
      </c>
      <c r="F57" s="2" t="s">
        <v>15</v>
      </c>
      <c r="G57" s="2"/>
      <c r="H57" s="2" t="e">
        <f>_xlfn.XMATCH(CAL[[#This Row],[Allocated Tech]],CAL[[#This Row],[Fleet check Driver logged in]],0)</f>
        <v>#N/A</v>
      </c>
      <c r="I57" s="2"/>
      <c r="J57" s="2"/>
      <c r="K57" s="2" t="e">
        <f>_xlfn.XLOOKUP(CAL[[#This Row],[Registration]],[1]Subscriptions!$A:$A,[1]Subscriptions!#REF!)</f>
        <v>#REF!</v>
      </c>
    </row>
    <row r="58" spans="1:11" x14ac:dyDescent="0.25">
      <c r="A58" s="2" t="s">
        <v>35</v>
      </c>
      <c r="B58" s="2">
        <v>245</v>
      </c>
      <c r="C58" s="2" t="s">
        <v>169</v>
      </c>
      <c r="D58" s="2" t="s">
        <v>170</v>
      </c>
      <c r="E58" s="2" t="s">
        <v>171</v>
      </c>
      <c r="F58" s="2" t="s">
        <v>15</v>
      </c>
      <c r="G58" s="2"/>
      <c r="H58" s="2">
        <f>_xlfn.XMATCH(CAL[[#This Row],[Allocated Tech]],CAL[[#This Row],[Fleet check Driver logged in]],0)</f>
        <v>1</v>
      </c>
      <c r="I58" s="2"/>
      <c r="J58" s="2"/>
      <c r="K58" s="2" t="e">
        <f>_xlfn.XLOOKUP(CAL[[#This Row],[Registration]],[1]Subscriptions!$A:$A,[1]Subscriptions!#REF!)</f>
        <v>#REF!</v>
      </c>
    </row>
    <row r="59" spans="1:11" x14ac:dyDescent="0.25">
      <c r="A59" s="2" t="s">
        <v>35</v>
      </c>
      <c r="B59" s="2">
        <v>521</v>
      </c>
      <c r="C59" s="2" t="s">
        <v>172</v>
      </c>
      <c r="D59" s="2" t="s">
        <v>173</v>
      </c>
      <c r="E59" s="2" t="s">
        <v>174</v>
      </c>
      <c r="F59" s="2" t="s">
        <v>15</v>
      </c>
      <c r="G59" s="2"/>
      <c r="H59" s="2" t="e">
        <f>_xlfn.XMATCH(CAL[[#This Row],[Allocated Tech]],CAL[[#This Row],[Fleet check Driver logged in]],0)</f>
        <v>#N/A</v>
      </c>
      <c r="I59" s="2"/>
      <c r="J59" s="2"/>
      <c r="K59" s="2" t="e">
        <f>_xlfn.XLOOKUP(CAL[[#This Row],[Registration]],[1]Subscriptions!$A:$A,[1]Subscriptions!#REF!)</f>
        <v>#REF!</v>
      </c>
    </row>
    <row r="60" spans="1:11" x14ac:dyDescent="0.25">
      <c r="A60" s="2" t="s">
        <v>35</v>
      </c>
      <c r="B60" s="2">
        <v>281</v>
      </c>
      <c r="C60" s="2" t="s">
        <v>175</v>
      </c>
      <c r="D60" s="2" t="s">
        <v>176</v>
      </c>
      <c r="E60" s="2" t="s">
        <v>177</v>
      </c>
      <c r="F60" s="2" t="s">
        <v>15</v>
      </c>
      <c r="G60" s="2"/>
      <c r="H60" s="2">
        <f>_xlfn.XMATCH(CAL[[#This Row],[Allocated Tech]],CAL[[#This Row],[Fleet check Driver logged in]],0)</f>
        <v>1</v>
      </c>
      <c r="I60" s="2"/>
      <c r="J60" s="2"/>
      <c r="K60" s="2" t="e">
        <f>_xlfn.XLOOKUP(CAL[[#This Row],[Registration]],[1]Subscriptions!$A:$A,[1]Subscriptions!#REF!)</f>
        <v>#REF!</v>
      </c>
    </row>
    <row r="61" spans="1:11" x14ac:dyDescent="0.25">
      <c r="A61" s="2" t="s">
        <v>35</v>
      </c>
      <c r="B61" s="2">
        <v>403</v>
      </c>
      <c r="C61" s="2" t="s">
        <v>178</v>
      </c>
      <c r="D61" s="2" t="s">
        <v>179</v>
      </c>
      <c r="E61" s="2" t="s">
        <v>180</v>
      </c>
      <c r="F61" s="2" t="s">
        <v>15</v>
      </c>
      <c r="G61" s="2"/>
      <c r="H61" s="2">
        <f>_xlfn.XMATCH(CAL[[#This Row],[Allocated Tech]],CAL[[#This Row],[Fleet check Driver logged in]],0)</f>
        <v>1</v>
      </c>
      <c r="I61" s="2"/>
      <c r="J61" s="2"/>
      <c r="K61" s="2" t="e">
        <f>_xlfn.XLOOKUP(CAL[[#This Row],[Registration]],[1]Subscriptions!$A:$A,[1]Subscriptions!#REF!)</f>
        <v>#REF!</v>
      </c>
    </row>
    <row r="62" spans="1:11" x14ac:dyDescent="0.25">
      <c r="A62" s="2" t="s">
        <v>35</v>
      </c>
      <c r="B62" s="2">
        <v>508</v>
      </c>
      <c r="C62" s="2" t="s">
        <v>181</v>
      </c>
      <c r="D62" s="2" t="s">
        <v>182</v>
      </c>
      <c r="E62" s="2" t="s">
        <v>183</v>
      </c>
      <c r="F62" s="2" t="s">
        <v>15</v>
      </c>
      <c r="G62" s="2"/>
      <c r="H62" s="2">
        <f>_xlfn.XMATCH(CAL[[#This Row],[Allocated Tech]],CAL[[#This Row],[Fleet check Driver logged in]],0)</f>
        <v>1</v>
      </c>
      <c r="I62" s="2"/>
      <c r="J62" s="2"/>
      <c r="K62" s="2" t="e">
        <f>_xlfn.XLOOKUP(CAL[[#This Row],[Registration]],[1]Subscriptions!$A:$A,[1]Subscriptions!#REF!)</f>
        <v>#REF!</v>
      </c>
    </row>
    <row r="63" spans="1:11" x14ac:dyDescent="0.25">
      <c r="A63" s="2" t="s">
        <v>184</v>
      </c>
      <c r="B63" s="2">
        <v>803</v>
      </c>
      <c r="C63" s="2" t="s">
        <v>185</v>
      </c>
      <c r="D63" s="2" t="s">
        <v>186</v>
      </c>
      <c r="E63" s="2" t="s">
        <v>187</v>
      </c>
      <c r="F63" s="2" t="s">
        <v>15</v>
      </c>
      <c r="G63" s="2"/>
      <c r="H63" s="2">
        <f>_xlfn.XMATCH(CAL[[#This Row],[Allocated Tech]],CAL[[#This Row],[Fleet check Driver logged in]],0)</f>
        <v>1</v>
      </c>
      <c r="I63" s="2"/>
      <c r="J63" s="2"/>
      <c r="K63" s="2" t="e">
        <f>_xlfn.XLOOKUP(CAL[[#This Row],[Registration]],[1]Subscriptions!$A:$A,[1]Subscriptions!#REF!)</f>
        <v>#REF!</v>
      </c>
    </row>
    <row r="64" spans="1:11" x14ac:dyDescent="0.25">
      <c r="A64" s="2" t="s">
        <v>184</v>
      </c>
      <c r="B64" s="2">
        <v>807</v>
      </c>
      <c r="C64" s="2" t="s">
        <v>188</v>
      </c>
      <c r="D64" s="2" t="s">
        <v>189</v>
      </c>
      <c r="E64" s="2"/>
      <c r="F64" s="2" t="s">
        <v>15</v>
      </c>
      <c r="G64" s="2"/>
      <c r="H64" s="2" t="e">
        <f>_xlfn.XMATCH(CAL[[#This Row],[Allocated Tech]],CAL[[#This Row],[Fleet check Driver logged in]],0)</f>
        <v>#N/A</v>
      </c>
      <c r="I64" s="2"/>
      <c r="J64" s="2"/>
      <c r="K64" s="2" t="e">
        <f>_xlfn.XLOOKUP(CAL[[#This Row],[Registration]],[1]Subscriptions!$A:$A,[1]Subscriptions!#REF!)</f>
        <v>#REF!</v>
      </c>
    </row>
    <row r="65" spans="1:11" x14ac:dyDescent="0.25">
      <c r="A65" s="2" t="s">
        <v>184</v>
      </c>
      <c r="B65" s="2">
        <v>840</v>
      </c>
      <c r="C65" s="2" t="s">
        <v>190</v>
      </c>
      <c r="D65" s="2" t="s">
        <v>191</v>
      </c>
      <c r="E65" s="2" t="s">
        <v>192</v>
      </c>
      <c r="F65" s="2" t="s">
        <v>15</v>
      </c>
      <c r="G65" s="2"/>
      <c r="H65" s="2" t="e">
        <f>_xlfn.XMATCH(CAL[[#This Row],[Allocated Tech]],CAL[[#This Row],[Fleet check Driver logged in]],0)</f>
        <v>#N/A</v>
      </c>
      <c r="I65" s="2"/>
      <c r="J65" s="2"/>
      <c r="K65" s="2" t="e">
        <f>_xlfn.XLOOKUP(CAL[[#This Row],[Registration]],[1]Subscriptions!$A:$A,[1]Subscriptions!#REF!)</f>
        <v>#REF!</v>
      </c>
    </row>
    <row r="66" spans="1:11" x14ac:dyDescent="0.25">
      <c r="A66" s="2" t="s">
        <v>184</v>
      </c>
      <c r="B66" s="2">
        <v>500</v>
      </c>
      <c r="C66" s="2" t="s">
        <v>193</v>
      </c>
      <c r="D66" s="2" t="s">
        <v>194</v>
      </c>
      <c r="E66" s="2" t="s">
        <v>195</v>
      </c>
      <c r="F66" s="2" t="s">
        <v>15</v>
      </c>
      <c r="G66" s="2"/>
      <c r="H66" s="2" t="e">
        <f>_xlfn.XMATCH(CAL[[#This Row],[Allocated Tech]],CAL[[#This Row],[Fleet check Driver logged in]],0)</f>
        <v>#N/A</v>
      </c>
      <c r="I66" s="2"/>
      <c r="J66" s="2"/>
      <c r="K66" s="2" t="e">
        <f>_xlfn.XLOOKUP(CAL[[#This Row],[Registration]],[1]Subscriptions!$A:$A,[1]Subscriptions!#REF!)</f>
        <v>#REF!</v>
      </c>
    </row>
    <row r="67" spans="1:11" x14ac:dyDescent="0.25">
      <c r="A67" s="2" t="s">
        <v>184</v>
      </c>
      <c r="B67" s="2">
        <v>240</v>
      </c>
      <c r="C67" s="2" t="s">
        <v>196</v>
      </c>
      <c r="D67" s="2" t="s">
        <v>197</v>
      </c>
      <c r="E67" s="2" t="s">
        <v>198</v>
      </c>
      <c r="F67" s="2" t="s">
        <v>15</v>
      </c>
      <c r="G67" s="2"/>
      <c r="H67" s="2">
        <f>_xlfn.XMATCH(CAL[[#This Row],[Allocated Tech]],CAL[[#This Row],[Fleet check Driver logged in]],0)</f>
        <v>1</v>
      </c>
      <c r="I67" s="2"/>
      <c r="J67" s="2"/>
      <c r="K67" s="2" t="e">
        <f>_xlfn.XLOOKUP(CAL[[#This Row],[Registration]],[1]Subscriptions!$A:$A,[1]Subscriptions!#REF!)</f>
        <v>#REF!</v>
      </c>
    </row>
    <row r="68" spans="1:11" x14ac:dyDescent="0.25">
      <c r="A68" s="2" t="s">
        <v>184</v>
      </c>
      <c r="B68" s="2">
        <v>277</v>
      </c>
      <c r="C68" s="2" t="s">
        <v>199</v>
      </c>
      <c r="D68" s="2" t="s">
        <v>200</v>
      </c>
      <c r="E68" s="2" t="s">
        <v>201</v>
      </c>
      <c r="F68" s="2" t="s">
        <v>15</v>
      </c>
      <c r="G68" s="2"/>
      <c r="H68" s="2" t="e">
        <f>_xlfn.XMATCH(CAL[[#This Row],[Allocated Tech]],CAL[[#This Row],[Fleet check Driver logged in]],0)</f>
        <v>#N/A</v>
      </c>
      <c r="I68" s="2"/>
      <c r="J68" s="2"/>
      <c r="K68" s="2" t="e">
        <f>_xlfn.XLOOKUP(CAL[[#This Row],[Registration]],[1]Subscriptions!$A:$A,[1]Subscriptions!#REF!)</f>
        <v>#REF!</v>
      </c>
    </row>
    <row r="69" spans="1:11" x14ac:dyDescent="0.25">
      <c r="A69" s="2" t="s">
        <v>184</v>
      </c>
      <c r="B69" s="2">
        <v>809</v>
      </c>
      <c r="C69" s="2" t="s">
        <v>202</v>
      </c>
      <c r="D69" s="2" t="s">
        <v>203</v>
      </c>
      <c r="E69" s="2" t="s">
        <v>204</v>
      </c>
      <c r="F69" s="2" t="s">
        <v>15</v>
      </c>
      <c r="G69" s="2"/>
      <c r="H69" s="2">
        <f>_xlfn.XMATCH(CAL[[#This Row],[Allocated Tech]],CAL[[#This Row],[Fleet check Driver logged in]],0)</f>
        <v>1</v>
      </c>
      <c r="I69" s="2"/>
      <c r="J69" s="2"/>
      <c r="K69" s="2" t="e">
        <f>_xlfn.XLOOKUP(CAL[[#This Row],[Registration]],[1]Subscriptions!$A:$A,[1]Subscriptions!#REF!)</f>
        <v>#REF!</v>
      </c>
    </row>
    <row r="70" spans="1:11" x14ac:dyDescent="0.25">
      <c r="A70" s="2" t="s">
        <v>184</v>
      </c>
      <c r="B70" s="2">
        <v>233</v>
      </c>
      <c r="C70" s="2" t="s">
        <v>205</v>
      </c>
      <c r="D70" s="2" t="s">
        <v>206</v>
      </c>
      <c r="E70" s="2" t="s">
        <v>207</v>
      </c>
      <c r="F70" s="2" t="s">
        <v>15</v>
      </c>
      <c r="G70" s="2"/>
      <c r="H70" s="2">
        <f>_xlfn.XMATCH(CAL[[#This Row],[Allocated Tech]],CAL[[#This Row],[Fleet check Driver logged in]],0)</f>
        <v>1</v>
      </c>
      <c r="I70" s="2"/>
      <c r="J70" s="2"/>
      <c r="K70" s="2" t="e">
        <f>_xlfn.XLOOKUP(CAL[[#This Row],[Registration]],[1]Subscriptions!$A:$A,[1]Subscriptions!#REF!)</f>
        <v>#REF!</v>
      </c>
    </row>
    <row r="71" spans="1:11" x14ac:dyDescent="0.25">
      <c r="A71" s="2" t="s">
        <v>184</v>
      </c>
      <c r="B71" s="2">
        <v>716</v>
      </c>
      <c r="C71" s="2" t="s">
        <v>208</v>
      </c>
      <c r="D71" s="2" t="s">
        <v>209</v>
      </c>
      <c r="E71" s="2" t="s">
        <v>210</v>
      </c>
      <c r="F71" s="2" t="s">
        <v>15</v>
      </c>
      <c r="G71" s="2"/>
      <c r="H71" s="2" t="e">
        <f>_xlfn.XMATCH(CAL[[#This Row],[Allocated Tech]],CAL[[#This Row],[Fleet check Driver logged in]],0)</f>
        <v>#N/A</v>
      </c>
      <c r="I71" s="2"/>
      <c r="J71" s="2"/>
      <c r="K71" s="2" t="e">
        <f>_xlfn.XLOOKUP(CAL[[#This Row],[Registration]],[1]Subscriptions!$A:$A,[1]Subscriptions!#REF!)</f>
        <v>#REF!</v>
      </c>
    </row>
    <row r="72" spans="1:11" x14ac:dyDescent="0.25">
      <c r="A72" s="2" t="s">
        <v>184</v>
      </c>
      <c r="B72" s="2">
        <v>802</v>
      </c>
      <c r="C72" s="2" t="s">
        <v>211</v>
      </c>
      <c r="D72" s="2" t="s">
        <v>212</v>
      </c>
      <c r="E72" s="2" t="s">
        <v>213</v>
      </c>
      <c r="F72" s="2" t="s">
        <v>15</v>
      </c>
      <c r="G72" s="2"/>
      <c r="H72" s="2">
        <f>_xlfn.XMATCH(CAL[[#This Row],[Allocated Tech]],CAL[[#This Row],[Fleet check Driver logged in]],0)</f>
        <v>1</v>
      </c>
      <c r="I72" s="2"/>
      <c r="J72" s="2"/>
      <c r="K72" s="2" t="e">
        <f>_xlfn.XLOOKUP(CAL[[#This Row],[Registration]],[1]Subscriptions!$A:$A,[1]Subscriptions!#REF!)</f>
        <v>#REF!</v>
      </c>
    </row>
    <row r="73" spans="1:11" x14ac:dyDescent="0.25">
      <c r="A73" s="2" t="s">
        <v>184</v>
      </c>
      <c r="B73" s="2">
        <v>710</v>
      </c>
      <c r="C73" s="2" t="s">
        <v>214</v>
      </c>
      <c r="D73" s="2" t="s">
        <v>215</v>
      </c>
      <c r="E73" s="2" t="s">
        <v>216</v>
      </c>
      <c r="F73" s="2" t="s">
        <v>15</v>
      </c>
      <c r="G73" s="2"/>
      <c r="H73" s="2" t="e">
        <f>_xlfn.XMATCH(CAL[[#This Row],[Allocated Tech]],CAL[[#This Row],[Fleet check Driver logged in]],0)</f>
        <v>#N/A</v>
      </c>
      <c r="I73" s="2"/>
      <c r="J73" s="2"/>
      <c r="K73" s="2" t="e">
        <f>_xlfn.XLOOKUP(CAL[[#This Row],[Registration]],[1]Subscriptions!$A:$A,[1]Subscriptions!#REF!)</f>
        <v>#REF!</v>
      </c>
    </row>
    <row r="74" spans="1:11" x14ac:dyDescent="0.25">
      <c r="A74" s="2" t="s">
        <v>184</v>
      </c>
      <c r="B74" s="2">
        <v>717</v>
      </c>
      <c r="C74" s="2" t="s">
        <v>217</v>
      </c>
      <c r="D74" s="2" t="s">
        <v>218</v>
      </c>
      <c r="E74" s="2" t="s">
        <v>219</v>
      </c>
      <c r="F74" s="2" t="s">
        <v>15</v>
      </c>
      <c r="G74" s="2"/>
      <c r="H74" s="2">
        <f>_xlfn.XMATCH(CAL[[#This Row],[Allocated Tech]],CAL[[#This Row],[Fleet check Driver logged in]],0)</f>
        <v>1</v>
      </c>
      <c r="I74" s="2"/>
      <c r="J74" s="2"/>
      <c r="K74" s="2" t="e">
        <f>_xlfn.XLOOKUP(CAL[[#This Row],[Registration]],[1]Subscriptions!$A:$A,[1]Subscriptions!#REF!)</f>
        <v>#REF!</v>
      </c>
    </row>
    <row r="75" spans="1:11" x14ac:dyDescent="0.25">
      <c r="A75" s="2" t="s">
        <v>184</v>
      </c>
      <c r="B75" s="2">
        <v>130</v>
      </c>
      <c r="C75" s="2" t="s">
        <v>220</v>
      </c>
      <c r="D75" s="2" t="s">
        <v>221</v>
      </c>
      <c r="E75" s="2" t="s">
        <v>222</v>
      </c>
      <c r="F75" s="2" t="s">
        <v>15</v>
      </c>
      <c r="G75" s="2"/>
      <c r="H75" s="2">
        <f>_xlfn.XMATCH(CAL[[#This Row],[Allocated Tech]],CAL[[#This Row],[Fleet check Driver logged in]],0)</f>
        <v>1</v>
      </c>
      <c r="I75" s="2"/>
      <c r="J75" s="2"/>
      <c r="K75" s="2" t="e">
        <f>_xlfn.XLOOKUP(CAL[[#This Row],[Registration]],[1]Subscriptions!$A:$A,[1]Subscriptions!#REF!)</f>
        <v>#REF!</v>
      </c>
    </row>
    <row r="76" spans="1:11" x14ac:dyDescent="0.25">
      <c r="A76" s="2" t="s">
        <v>184</v>
      </c>
      <c r="B76" s="2">
        <v>719</v>
      </c>
      <c r="C76" s="2" t="s">
        <v>223</v>
      </c>
      <c r="D76" s="2" t="s">
        <v>224</v>
      </c>
      <c r="E76" s="2" t="s">
        <v>225</v>
      </c>
      <c r="F76" s="2" t="s">
        <v>15</v>
      </c>
      <c r="G76" s="2"/>
      <c r="H76" s="2" t="e">
        <f>_xlfn.XMATCH(CAL[[#This Row],[Allocated Tech]],CAL[[#This Row],[Fleet check Driver logged in]],0)</f>
        <v>#N/A</v>
      </c>
      <c r="I76" s="2"/>
      <c r="J76" s="2"/>
      <c r="K76" s="2" t="e">
        <f>_xlfn.XLOOKUP(CAL[[#This Row],[Registration]],[1]Subscriptions!$A:$A,[1]Subscriptions!#REF!)</f>
        <v>#REF!</v>
      </c>
    </row>
    <row r="77" spans="1:11" x14ac:dyDescent="0.25">
      <c r="A77" s="2" t="s">
        <v>184</v>
      </c>
      <c r="B77" s="2">
        <v>718</v>
      </c>
      <c r="C77" s="2" t="s">
        <v>226</v>
      </c>
      <c r="D77" s="2" t="s">
        <v>227</v>
      </c>
      <c r="E77" s="2" t="s">
        <v>228</v>
      </c>
      <c r="F77" s="2" t="s">
        <v>15</v>
      </c>
      <c r="G77" s="2"/>
      <c r="H77" s="2">
        <f>_xlfn.XMATCH(CAL[[#This Row],[Allocated Tech]],CAL[[#This Row],[Fleet check Driver logged in]],0)</f>
        <v>1</v>
      </c>
      <c r="I77" s="2"/>
      <c r="J77" s="2"/>
      <c r="K77" s="2" t="e">
        <f>_xlfn.XLOOKUP(CAL[[#This Row],[Registration]],[1]Subscriptions!$A:$A,[1]Subscriptions!#REF!)</f>
        <v>#REF!</v>
      </c>
    </row>
    <row r="78" spans="1:11" x14ac:dyDescent="0.25">
      <c r="A78" s="2" t="s">
        <v>184</v>
      </c>
      <c r="B78" s="2">
        <v>804</v>
      </c>
      <c r="C78" s="2" t="s">
        <v>229</v>
      </c>
      <c r="D78" s="2" t="s">
        <v>230</v>
      </c>
      <c r="E78" s="2" t="s">
        <v>231</v>
      </c>
      <c r="F78" s="2" t="s">
        <v>15</v>
      </c>
      <c r="G78" s="2"/>
      <c r="H78" s="2">
        <f>_xlfn.XMATCH(CAL[[#This Row],[Allocated Tech]],CAL[[#This Row],[Fleet check Driver logged in]],0)</f>
        <v>1</v>
      </c>
      <c r="I78" s="2"/>
      <c r="J78" s="2"/>
      <c r="K78" s="2" t="e">
        <f>_xlfn.XLOOKUP(CAL[[#This Row],[Registration]],[1]Subscriptions!$A:$A,[1]Subscriptions!#REF!)</f>
        <v>#REF!</v>
      </c>
    </row>
    <row r="79" spans="1:11" x14ac:dyDescent="0.25">
      <c r="A79" s="2" t="s">
        <v>184</v>
      </c>
      <c r="B79" s="2">
        <v>823</v>
      </c>
      <c r="C79" s="2" t="s">
        <v>232</v>
      </c>
      <c r="D79" s="2" t="s">
        <v>37</v>
      </c>
      <c r="E79" s="2" t="s">
        <v>233</v>
      </c>
      <c r="F79" s="2" t="s">
        <v>15</v>
      </c>
      <c r="G79" s="2"/>
      <c r="H79" s="2" t="e">
        <f>_xlfn.XMATCH(CAL[[#This Row],[Allocated Tech]],CAL[[#This Row],[Fleet check Driver logged in]],0)</f>
        <v>#N/A</v>
      </c>
      <c r="I79" s="2"/>
      <c r="J79" s="2"/>
      <c r="K79" s="2" t="e">
        <f>_xlfn.XLOOKUP(CAL[[#This Row],[Registration]],[1]Subscriptions!$A:$A,[1]Subscriptions!#REF!)</f>
        <v>#REF!</v>
      </c>
    </row>
    <row r="80" spans="1:11" x14ac:dyDescent="0.25">
      <c r="A80" s="2" t="s">
        <v>184</v>
      </c>
      <c r="B80" s="2">
        <v>829</v>
      </c>
      <c r="C80" s="2" t="s">
        <v>234</v>
      </c>
      <c r="D80" s="2" t="s">
        <v>235</v>
      </c>
      <c r="E80" s="2"/>
      <c r="F80" s="2" t="s">
        <v>15</v>
      </c>
      <c r="G80" s="2"/>
      <c r="H80" s="2" t="e">
        <f>_xlfn.XMATCH(CAL[[#This Row],[Allocated Tech]],CAL[[#This Row],[Fleet check Driver logged in]],0)</f>
        <v>#N/A</v>
      </c>
      <c r="I80" s="2"/>
      <c r="J80" s="2"/>
      <c r="K80" s="2" t="e">
        <f>_xlfn.XLOOKUP(CAL[[#This Row],[Registration]],[1]Subscriptions!$A:$A,[1]Subscriptions!#REF!)</f>
        <v>#REF!</v>
      </c>
    </row>
    <row r="81" spans="1:11" x14ac:dyDescent="0.25">
      <c r="A81" s="2" t="s">
        <v>184</v>
      </c>
      <c r="B81" s="2">
        <v>723</v>
      </c>
      <c r="C81" s="2" t="s">
        <v>236</v>
      </c>
      <c r="D81" s="2" t="s">
        <v>237</v>
      </c>
      <c r="E81" s="2" t="s">
        <v>238</v>
      </c>
      <c r="F81" s="2" t="s">
        <v>15</v>
      </c>
      <c r="G81" s="2"/>
      <c r="H81" s="2">
        <f>_xlfn.XMATCH(CAL[[#This Row],[Allocated Tech]],CAL[[#This Row],[Fleet check Driver logged in]],0)</f>
        <v>1</v>
      </c>
      <c r="I81" s="2"/>
      <c r="J81" s="2"/>
      <c r="K81" s="2" t="e">
        <f>_xlfn.XLOOKUP(CAL[[#This Row],[Registration]],[1]Subscriptions!$A:$A,[1]Subscriptions!#REF!)</f>
        <v>#REF!</v>
      </c>
    </row>
    <row r="82" spans="1:11" x14ac:dyDescent="0.25">
      <c r="A82" s="2" t="s">
        <v>184</v>
      </c>
      <c r="B82" s="2">
        <v>753</v>
      </c>
      <c r="C82" s="2" t="s">
        <v>239</v>
      </c>
      <c r="D82" s="2" t="s">
        <v>240</v>
      </c>
      <c r="E82" s="2" t="s">
        <v>241</v>
      </c>
      <c r="F82" s="2" t="s">
        <v>15</v>
      </c>
      <c r="G82" s="2"/>
      <c r="H82" s="2">
        <f>_xlfn.XMATCH(CAL[[#This Row],[Allocated Tech]],CAL[[#This Row],[Fleet check Driver logged in]],0)</f>
        <v>1</v>
      </c>
      <c r="I82" s="2"/>
      <c r="J82" s="2"/>
      <c r="K82" s="2" t="e">
        <f>_xlfn.XLOOKUP(CAL[[#This Row],[Registration]],[1]Subscriptions!$A:$A,[1]Subscriptions!#REF!)</f>
        <v>#REF!</v>
      </c>
    </row>
    <row r="83" spans="1:11" x14ac:dyDescent="0.25">
      <c r="A83" s="2" t="s">
        <v>184</v>
      </c>
      <c r="B83" s="2">
        <v>230</v>
      </c>
      <c r="C83" s="2" t="s">
        <v>242</v>
      </c>
      <c r="D83" s="2" t="s">
        <v>243</v>
      </c>
      <c r="E83" s="2" t="s">
        <v>244</v>
      </c>
      <c r="F83" s="2" t="s">
        <v>15</v>
      </c>
      <c r="G83" s="2"/>
      <c r="H83" s="2" t="e">
        <f>_xlfn.XMATCH(CAL[[#This Row],[Allocated Tech]],CAL[[#This Row],[Fleet check Driver logged in]],0)</f>
        <v>#N/A</v>
      </c>
      <c r="I83" s="2"/>
      <c r="J83" s="2"/>
      <c r="K83" s="2" t="e">
        <f>_xlfn.XLOOKUP(CAL[[#This Row],[Registration]],[1]Subscriptions!$A:$A,[1]Subscriptions!#REF!)</f>
        <v>#REF!</v>
      </c>
    </row>
    <row r="84" spans="1:11" x14ac:dyDescent="0.25">
      <c r="A84" s="2" t="s">
        <v>184</v>
      </c>
      <c r="B84" s="2"/>
      <c r="C84" s="2" t="s">
        <v>245</v>
      </c>
      <c r="D84" s="2"/>
      <c r="E84" s="2"/>
      <c r="F84" s="2" t="s">
        <v>15</v>
      </c>
      <c r="G84" s="2"/>
      <c r="H84" s="2">
        <f>_xlfn.XMATCH(CAL[[#This Row],[Allocated Tech]],CAL[[#This Row],[Fleet check Driver logged in]],0)</f>
        <v>1</v>
      </c>
      <c r="I84" s="2"/>
      <c r="J84" s="2"/>
      <c r="K84" s="2" t="e">
        <f>_xlfn.XLOOKUP(CAL[[#This Row],[Registration]],[1]Subscriptions!$A:$A,[1]Subscriptions!#REF!)</f>
        <v>#REF!</v>
      </c>
    </row>
    <row r="85" spans="1:11" x14ac:dyDescent="0.25">
      <c r="A85" s="2" t="s">
        <v>184</v>
      </c>
      <c r="B85" s="2">
        <v>358</v>
      </c>
      <c r="C85" s="2" t="s">
        <v>246</v>
      </c>
      <c r="D85" s="2" t="s">
        <v>247</v>
      </c>
      <c r="E85" s="2" t="s">
        <v>248</v>
      </c>
      <c r="F85" s="2" t="s">
        <v>15</v>
      </c>
      <c r="G85" s="2"/>
      <c r="H85" s="2">
        <f>_xlfn.XMATCH(CAL[[#This Row],[Allocated Tech]],CAL[[#This Row],[Fleet check Driver logged in]],0)</f>
        <v>1</v>
      </c>
      <c r="I85" s="2"/>
      <c r="J85" s="2"/>
      <c r="K85" s="2" t="e">
        <f>_xlfn.XLOOKUP(CAL[[#This Row],[Registration]],[1]Subscriptions!$A:$A,[1]Subscriptions!#REF!)</f>
        <v>#REF!</v>
      </c>
    </row>
    <row r="86" spans="1:11" x14ac:dyDescent="0.25">
      <c r="A86" s="2" t="s">
        <v>184</v>
      </c>
      <c r="B86" s="2">
        <v>855</v>
      </c>
      <c r="C86" s="2" t="s">
        <v>249</v>
      </c>
      <c r="D86" s="2" t="s">
        <v>250</v>
      </c>
      <c r="E86" s="2" t="s">
        <v>251</v>
      </c>
      <c r="F86" s="2" t="s">
        <v>15</v>
      </c>
      <c r="G86" s="2"/>
      <c r="H86" s="2" t="e">
        <f>_xlfn.XMATCH(CAL[[#This Row],[Allocated Tech]],CAL[[#This Row],[Fleet check Driver logged in]],0)</f>
        <v>#N/A</v>
      </c>
      <c r="I86" s="2"/>
      <c r="J86" s="2"/>
      <c r="K86" s="2" t="e">
        <f>_xlfn.XLOOKUP(CAL[[#This Row],[Registration]],[1]Subscriptions!$A:$A,[1]Subscriptions!#REF!)</f>
        <v>#REF!</v>
      </c>
    </row>
    <row r="87" spans="1:11" x14ac:dyDescent="0.25">
      <c r="A87" s="2" t="s">
        <v>184</v>
      </c>
      <c r="B87" s="2"/>
      <c r="C87" s="2" t="s">
        <v>252</v>
      </c>
      <c r="D87" s="2"/>
      <c r="E87" s="2"/>
      <c r="F87" s="2" t="s">
        <v>15</v>
      </c>
      <c r="G87" s="2"/>
      <c r="H87" s="2">
        <f>_xlfn.XMATCH(CAL[[#This Row],[Allocated Tech]],CAL[[#This Row],[Fleet check Driver logged in]],0)</f>
        <v>1</v>
      </c>
      <c r="I87" s="2"/>
      <c r="J87" s="2"/>
      <c r="K87" s="2" t="e">
        <f>_xlfn.XLOOKUP(CAL[[#This Row],[Registration]],[1]Subscriptions!$A:$A,[1]Subscriptions!#REF!)</f>
        <v>#REF!</v>
      </c>
    </row>
    <row r="88" spans="1:11" x14ac:dyDescent="0.25">
      <c r="A88" s="2" t="s">
        <v>184</v>
      </c>
      <c r="B88" s="2"/>
      <c r="C88" s="2" t="s">
        <v>253</v>
      </c>
      <c r="D88" s="2"/>
      <c r="E88" s="2"/>
      <c r="F88" s="2" t="s">
        <v>15</v>
      </c>
      <c r="G88" s="2"/>
      <c r="H88" s="2">
        <f>_xlfn.XMATCH(CAL[[#This Row],[Allocated Tech]],CAL[[#This Row],[Fleet check Driver logged in]],0)</f>
        <v>1</v>
      </c>
      <c r="I88" s="2"/>
      <c r="J88" s="2"/>
      <c r="K88" s="2" t="e">
        <f>_xlfn.XLOOKUP(CAL[[#This Row],[Registration]],[1]Subscriptions!$A:$A,[1]Subscriptions!#REF!)</f>
        <v>#REF!</v>
      </c>
    </row>
    <row r="89" spans="1:11" x14ac:dyDescent="0.25">
      <c r="A89" s="2" t="s">
        <v>184</v>
      </c>
      <c r="B89" s="2">
        <v>300</v>
      </c>
      <c r="C89" s="2" t="s">
        <v>254</v>
      </c>
      <c r="D89" s="2" t="s">
        <v>255</v>
      </c>
      <c r="E89" s="2" t="s">
        <v>256</v>
      </c>
      <c r="F89" s="2" t="s">
        <v>15</v>
      </c>
      <c r="G89" s="2"/>
      <c r="H89" s="2" t="e">
        <f>_xlfn.XMATCH(CAL[[#This Row],[Allocated Tech]],CAL[[#This Row],[Fleet check Driver logged in]],0)</f>
        <v>#N/A</v>
      </c>
      <c r="I89" s="2"/>
      <c r="J89" s="2"/>
      <c r="K89" s="2" t="e">
        <f>_xlfn.XLOOKUP(CAL[[#This Row],[Registration]],[1]Subscriptions!$A:$A,[1]Subscriptions!#REF!)</f>
        <v>#REF!</v>
      </c>
    </row>
    <row r="90" spans="1:11" x14ac:dyDescent="0.25">
      <c r="A90" s="2" t="s">
        <v>184</v>
      </c>
      <c r="B90" s="2">
        <v>754</v>
      </c>
      <c r="C90" s="2" t="s">
        <v>257</v>
      </c>
      <c r="D90" s="2" t="s">
        <v>258</v>
      </c>
      <c r="E90" s="2" t="s">
        <v>259</v>
      </c>
      <c r="F90" s="2" t="s">
        <v>15</v>
      </c>
      <c r="G90" s="2"/>
      <c r="H90" s="2">
        <f>_xlfn.XMATCH(CAL[[#This Row],[Allocated Tech]],CAL[[#This Row],[Fleet check Driver logged in]],0)</f>
        <v>1</v>
      </c>
      <c r="I90" s="2"/>
      <c r="J90" s="2"/>
      <c r="K90" s="2" t="e">
        <f>_xlfn.XLOOKUP(CAL[[#This Row],[Registration]],[1]Subscriptions!$A:$A,[1]Subscriptions!#REF!)</f>
        <v>#REF!</v>
      </c>
    </row>
    <row r="91" spans="1:11" x14ac:dyDescent="0.25">
      <c r="A91" s="2" t="s">
        <v>184</v>
      </c>
      <c r="B91" s="2">
        <v>806</v>
      </c>
      <c r="C91" s="2" t="s">
        <v>260</v>
      </c>
      <c r="D91" s="2" t="s">
        <v>261</v>
      </c>
      <c r="E91" s="2" t="s">
        <v>262</v>
      </c>
      <c r="F91" s="2" t="s">
        <v>15</v>
      </c>
      <c r="G91" s="2"/>
      <c r="H91" s="2">
        <f>_xlfn.XMATCH(CAL[[#This Row],[Allocated Tech]],CAL[[#This Row],[Fleet check Driver logged in]],0)</f>
        <v>1</v>
      </c>
      <c r="I91" s="2"/>
      <c r="J91" s="2"/>
      <c r="K91" s="2" t="e">
        <f>_xlfn.XLOOKUP(CAL[[#This Row],[Registration]],[1]Subscriptions!$A:$A,[1]Subscriptions!#REF!)</f>
        <v>#REF!</v>
      </c>
    </row>
    <row r="92" spans="1:11" x14ac:dyDescent="0.25">
      <c r="A92" s="2" t="s">
        <v>184</v>
      </c>
      <c r="B92" s="2">
        <v>325</v>
      </c>
      <c r="C92" s="2" t="s">
        <v>263</v>
      </c>
      <c r="D92" s="2" t="s">
        <v>264</v>
      </c>
      <c r="E92" s="2" t="s">
        <v>256</v>
      </c>
      <c r="F92" s="2" t="s">
        <v>15</v>
      </c>
      <c r="G92" s="2"/>
      <c r="H92" s="2">
        <f>_xlfn.XMATCH(CAL[[#This Row],[Allocated Tech]],CAL[[#This Row],[Fleet check Driver logged in]],0)</f>
        <v>1</v>
      </c>
      <c r="I92" s="2"/>
      <c r="J92" s="2"/>
      <c r="K92" s="2" t="e">
        <f>_xlfn.XLOOKUP(CAL[[#This Row],[Registration]],[1]Subscriptions!$A:$A,[1]Subscriptions!#REF!)</f>
        <v>#REF!</v>
      </c>
    </row>
    <row r="93" spans="1:11" x14ac:dyDescent="0.25">
      <c r="A93" s="2" t="s">
        <v>184</v>
      </c>
      <c r="B93" s="2">
        <v>119</v>
      </c>
      <c r="C93" s="2" t="s">
        <v>265</v>
      </c>
      <c r="D93" s="2" t="s">
        <v>266</v>
      </c>
      <c r="E93" s="2"/>
      <c r="F93" s="2" t="s">
        <v>15</v>
      </c>
      <c r="G93" s="2"/>
      <c r="H93" s="2" t="e">
        <f>_xlfn.XMATCH(CAL[[#This Row],[Allocated Tech]],CAL[[#This Row],[Fleet check Driver logged in]],0)</f>
        <v>#N/A</v>
      </c>
      <c r="I93" s="2"/>
      <c r="J93" s="2"/>
      <c r="K93" s="2" t="e">
        <f>_xlfn.XLOOKUP(CAL[[#This Row],[Registration]],[1]Subscriptions!$A:$A,[1]Subscriptions!#REF!)</f>
        <v>#REF!</v>
      </c>
    </row>
    <row r="94" spans="1:11" x14ac:dyDescent="0.25">
      <c r="A94" s="2" t="s">
        <v>184</v>
      </c>
      <c r="B94" s="2">
        <v>799</v>
      </c>
      <c r="C94" s="2" t="s">
        <v>267</v>
      </c>
      <c r="D94" s="2" t="s">
        <v>268</v>
      </c>
      <c r="E94" s="2"/>
      <c r="F94" s="2" t="s">
        <v>5</v>
      </c>
      <c r="G94" s="2"/>
      <c r="H94" s="2" t="e">
        <f>_xlfn.XMATCH(CAL[[#This Row],[Allocated Tech]],CAL[[#This Row],[Fleet check Driver logged in]],0)</f>
        <v>#N/A</v>
      </c>
      <c r="I94" s="2"/>
      <c r="J94" s="2"/>
      <c r="K94" s="2" t="e">
        <f>_xlfn.XLOOKUP(CAL[[#This Row],[Registration]],[1]Subscriptions!$A:$A,[1]Subscriptions!#REF!)</f>
        <v>#REF!</v>
      </c>
    </row>
    <row r="95" spans="1:11" x14ac:dyDescent="0.25">
      <c r="A95" s="2" t="s">
        <v>184</v>
      </c>
      <c r="B95" s="2">
        <v>810</v>
      </c>
      <c r="C95" s="2" t="s">
        <v>269</v>
      </c>
      <c r="D95" s="2" t="s">
        <v>270</v>
      </c>
      <c r="E95" s="2" t="s">
        <v>271</v>
      </c>
      <c r="F95" s="2" t="s">
        <v>15</v>
      </c>
      <c r="G95" s="2"/>
      <c r="H95" s="2">
        <f>_xlfn.XMATCH(CAL[[#This Row],[Allocated Tech]],CAL[[#This Row],[Fleet check Driver logged in]],0)</f>
        <v>1</v>
      </c>
      <c r="I95" s="2"/>
      <c r="J95" s="2"/>
      <c r="K95" s="2" t="e">
        <f>_xlfn.XLOOKUP(CAL[[#This Row],[Registration]],[1]Subscriptions!$A:$A,[1]Subscriptions!#REF!)</f>
        <v>#REF!</v>
      </c>
    </row>
    <row r="96" spans="1:11" x14ac:dyDescent="0.25">
      <c r="A96" s="2" t="s">
        <v>184</v>
      </c>
      <c r="B96" s="2">
        <v>801</v>
      </c>
      <c r="C96" s="2" t="s">
        <v>272</v>
      </c>
      <c r="D96" s="2" t="s">
        <v>270</v>
      </c>
      <c r="E96" s="2"/>
      <c r="F96" s="2" t="s">
        <v>15</v>
      </c>
      <c r="G96" s="2"/>
      <c r="H96" s="2" t="e">
        <f>_xlfn.XMATCH(CAL[[#This Row],[Allocated Tech]],CAL[[#This Row],[Fleet check Driver logged in]],0)</f>
        <v>#N/A</v>
      </c>
      <c r="I96" s="2"/>
      <c r="J96" s="2"/>
      <c r="K96" s="2" t="e">
        <f>_xlfn.XLOOKUP(CAL[[#This Row],[Registration]],[1]Subscriptions!$A:$A,[1]Subscriptions!#REF!)</f>
        <v>#REF!</v>
      </c>
    </row>
    <row r="97" spans="1:11" x14ac:dyDescent="0.25">
      <c r="A97" s="2" t="s">
        <v>184</v>
      </c>
      <c r="B97" s="2">
        <v>117</v>
      </c>
      <c r="C97" s="2" t="s">
        <v>273</v>
      </c>
      <c r="D97" s="2" t="s">
        <v>274</v>
      </c>
      <c r="E97" s="2" t="s">
        <v>275</v>
      </c>
      <c r="F97" s="2" t="s">
        <v>15</v>
      </c>
      <c r="G97" s="2"/>
      <c r="H97" s="2" t="e">
        <f>_xlfn.XMATCH(CAL[[#This Row],[Allocated Tech]],CAL[[#This Row],[Fleet check Driver logged in]],0)</f>
        <v>#N/A</v>
      </c>
      <c r="I97" s="2"/>
      <c r="J97" s="2"/>
      <c r="K97" s="2" t="e">
        <f>_xlfn.XLOOKUP(CAL[[#This Row],[Registration]],[1]Subscriptions!$A:$A,[1]Subscriptions!#REF!)</f>
        <v>#REF!</v>
      </c>
    </row>
    <row r="98" spans="1:11" x14ac:dyDescent="0.25">
      <c r="A98" s="2" t="s">
        <v>276</v>
      </c>
      <c r="B98" s="2">
        <v>911</v>
      </c>
      <c r="C98" s="2" t="s">
        <v>277</v>
      </c>
      <c r="D98" s="2" t="s">
        <v>278</v>
      </c>
      <c r="E98" s="2" t="s">
        <v>279</v>
      </c>
      <c r="F98" s="2" t="s">
        <v>15</v>
      </c>
      <c r="G98" s="2"/>
      <c r="H98" s="2" t="e">
        <f>_xlfn.XMATCH(CAL[[#This Row],[Allocated Tech]],CAL[[#This Row],[Fleet check Driver logged in]],0)</f>
        <v>#N/A</v>
      </c>
      <c r="I98" s="2"/>
      <c r="J98" s="2"/>
      <c r="K98" s="2" t="e">
        <f>_xlfn.XLOOKUP(CAL[[#This Row],[Registration]],[1]Subscriptions!$A:$A,[1]Subscriptions!#REF!)</f>
        <v>#REF!</v>
      </c>
    </row>
    <row r="99" spans="1:11" x14ac:dyDescent="0.25">
      <c r="A99" s="2" t="s">
        <v>276</v>
      </c>
      <c r="B99" s="2">
        <v>900</v>
      </c>
      <c r="C99" s="2" t="s">
        <v>280</v>
      </c>
      <c r="D99" s="2" t="s">
        <v>281</v>
      </c>
      <c r="E99" s="2" t="s">
        <v>282</v>
      </c>
      <c r="F99" s="2" t="s">
        <v>15</v>
      </c>
      <c r="G99" s="2"/>
      <c r="H99" s="2">
        <f>_xlfn.XMATCH(CAL[[#This Row],[Allocated Tech]],CAL[[#This Row],[Fleet check Driver logged in]],0)</f>
        <v>1</v>
      </c>
      <c r="I99" s="2"/>
      <c r="J99" s="2"/>
      <c r="K99" s="2" t="e">
        <f>_xlfn.XLOOKUP(CAL[[#This Row],[Registration]],[1]Subscriptions!$A:$A,[1]Subscriptions!#REF!)</f>
        <v>#REF!</v>
      </c>
    </row>
    <row r="100" spans="1:11" x14ac:dyDescent="0.25">
      <c r="A100" s="2" t="s">
        <v>276</v>
      </c>
      <c r="B100" s="2">
        <v>174</v>
      </c>
      <c r="C100" s="2" t="s">
        <v>283</v>
      </c>
      <c r="D100" s="2" t="s">
        <v>284</v>
      </c>
      <c r="E100" s="2" t="s">
        <v>285</v>
      </c>
      <c r="F100" s="2" t="s">
        <v>15</v>
      </c>
      <c r="G100" s="2"/>
      <c r="H100" s="2" t="e">
        <f>_xlfn.XMATCH(CAL[[#This Row],[Allocated Tech]],CAL[[#This Row],[Fleet check Driver logged in]],0)</f>
        <v>#N/A</v>
      </c>
      <c r="I100" s="2"/>
      <c r="J100" s="2"/>
      <c r="K100" s="2" t="e">
        <f>_xlfn.XLOOKUP(CAL[[#This Row],[Registration]],[1]Subscriptions!$A:$A,[1]Subscriptions!#REF!)</f>
        <v>#REF!</v>
      </c>
    </row>
    <row r="101" spans="1:11" x14ac:dyDescent="0.25">
      <c r="A101" s="2" t="s">
        <v>276</v>
      </c>
      <c r="B101" s="2">
        <v>181</v>
      </c>
      <c r="C101" s="2" t="s">
        <v>286</v>
      </c>
      <c r="D101" s="2" t="s">
        <v>287</v>
      </c>
      <c r="E101" s="2" t="s">
        <v>288</v>
      </c>
      <c r="F101" s="2" t="s">
        <v>15</v>
      </c>
      <c r="G101" s="2"/>
      <c r="H101" s="2">
        <f>_xlfn.XMATCH(CAL[[#This Row],[Allocated Tech]],CAL[[#This Row],[Fleet check Driver logged in]],0)</f>
        <v>1</v>
      </c>
      <c r="I101" s="2"/>
      <c r="J101" s="2"/>
      <c r="K101" s="2" t="e">
        <f>_xlfn.XLOOKUP(CAL[[#This Row],[Registration]],[1]Subscriptions!$A:$A,[1]Subscriptions!#REF!)</f>
        <v>#REF!</v>
      </c>
    </row>
    <row r="102" spans="1:11" x14ac:dyDescent="0.25">
      <c r="A102" s="2" t="s">
        <v>276</v>
      </c>
      <c r="B102" s="2">
        <v>625</v>
      </c>
      <c r="C102" s="2" t="s">
        <v>289</v>
      </c>
      <c r="D102" s="2" t="s">
        <v>290</v>
      </c>
      <c r="E102" s="2"/>
      <c r="F102" s="2" t="s">
        <v>15</v>
      </c>
      <c r="G102" s="2"/>
      <c r="H102" s="2" t="e">
        <f>_xlfn.XMATCH(CAL[[#This Row],[Allocated Tech]],CAL[[#This Row],[Fleet check Driver logged in]],0)</f>
        <v>#N/A</v>
      </c>
      <c r="I102" s="2"/>
      <c r="J102" s="2"/>
      <c r="K102" s="2" t="e">
        <f>_xlfn.XLOOKUP(CAL[[#This Row],[Registration]],[1]Subscriptions!$A:$A,[1]Subscriptions!#REF!)</f>
        <v>#REF!</v>
      </c>
    </row>
    <row r="103" spans="1:11" x14ac:dyDescent="0.25">
      <c r="A103" s="2" t="s">
        <v>276</v>
      </c>
      <c r="B103" s="2">
        <v>911</v>
      </c>
      <c r="C103" s="2" t="s">
        <v>277</v>
      </c>
      <c r="D103" s="2" t="s">
        <v>278</v>
      </c>
      <c r="E103" s="2" t="s">
        <v>279</v>
      </c>
      <c r="F103" s="2" t="s">
        <v>15</v>
      </c>
      <c r="G103" s="2"/>
      <c r="H103" s="2" t="e">
        <f>_xlfn.XMATCH(CAL[[#This Row],[Allocated Tech]],CAL[[#This Row],[Fleet check Driver logged in]],0)</f>
        <v>#N/A</v>
      </c>
      <c r="I103" s="2"/>
      <c r="J103" s="2"/>
      <c r="K103" s="2" t="e">
        <f>_xlfn.XLOOKUP(CAL[[#This Row],[Registration]],[1]Subscriptions!$A:$A,[1]Subscriptions!#REF!)</f>
        <v>#REF!</v>
      </c>
    </row>
    <row r="104" spans="1:11" x14ac:dyDescent="0.25">
      <c r="A104" s="2" t="s">
        <v>276</v>
      </c>
      <c r="B104" s="2">
        <v>426</v>
      </c>
      <c r="C104" s="2" t="s">
        <v>291</v>
      </c>
      <c r="D104" s="2" t="s">
        <v>292</v>
      </c>
      <c r="E104" s="2" t="s">
        <v>293</v>
      </c>
      <c r="F104" s="2" t="s">
        <v>15</v>
      </c>
      <c r="G104" s="2"/>
      <c r="H104" s="2" t="e">
        <f>_xlfn.XMATCH(CAL[[#This Row],[Allocated Tech]],CAL[[#This Row],[Fleet check Driver logged in]],0)</f>
        <v>#N/A</v>
      </c>
      <c r="I104" s="2"/>
      <c r="J104" s="2"/>
      <c r="K104" s="2" t="e">
        <f>_xlfn.XLOOKUP(CAL[[#This Row],[Registration]],[1]Subscriptions!$A:$A,[1]Subscriptions!#REF!)</f>
        <v>#REF!</v>
      </c>
    </row>
    <row r="105" spans="1:11" x14ac:dyDescent="0.25">
      <c r="A105" s="2" t="s">
        <v>276</v>
      </c>
      <c r="B105" s="2">
        <v>137</v>
      </c>
      <c r="C105" s="2" t="s">
        <v>294</v>
      </c>
      <c r="D105" s="2" t="s">
        <v>295</v>
      </c>
      <c r="E105" s="2" t="s">
        <v>296</v>
      </c>
      <c r="F105" s="2" t="s">
        <v>15</v>
      </c>
      <c r="G105" s="2"/>
      <c r="H105" s="2" t="e">
        <f>_xlfn.XMATCH(CAL[[#This Row],[Allocated Tech]],CAL[[#This Row],[Fleet check Driver logged in]],0)</f>
        <v>#N/A</v>
      </c>
      <c r="I105" s="2"/>
      <c r="J105" s="2"/>
      <c r="K105" s="2" t="e">
        <f>_xlfn.XLOOKUP(CAL[[#This Row],[Registration]],[1]Subscriptions!$A:$A,[1]Subscriptions!#REF!)</f>
        <v>#REF!</v>
      </c>
    </row>
    <row r="106" spans="1:11" x14ac:dyDescent="0.25">
      <c r="A106" s="2" t="s">
        <v>276</v>
      </c>
      <c r="B106" s="2">
        <v>286</v>
      </c>
      <c r="C106" s="2" t="s">
        <v>297</v>
      </c>
      <c r="D106" s="2" t="s">
        <v>298</v>
      </c>
      <c r="E106" s="2" t="s">
        <v>299</v>
      </c>
      <c r="F106" s="2" t="s">
        <v>15</v>
      </c>
      <c r="G106" s="2"/>
      <c r="H106" s="2" t="e">
        <f>_xlfn.XMATCH(CAL[[#This Row],[Allocated Tech]],CAL[[#This Row],[Fleet check Driver logged in]],0)</f>
        <v>#N/A</v>
      </c>
      <c r="I106" s="2"/>
      <c r="J106" s="2"/>
      <c r="K106" s="2" t="e">
        <f>_xlfn.XLOOKUP(CAL[[#This Row],[Registration]],[1]Subscriptions!$A:$A,[1]Subscriptions!#REF!)</f>
        <v>#REF!</v>
      </c>
    </row>
    <row r="107" spans="1:11" x14ac:dyDescent="0.25">
      <c r="A107" s="2" t="s">
        <v>276</v>
      </c>
      <c r="B107" s="2">
        <v>179</v>
      </c>
      <c r="C107" s="2" t="s">
        <v>300</v>
      </c>
      <c r="D107" s="2" t="s">
        <v>301</v>
      </c>
      <c r="E107" s="2" t="s">
        <v>302</v>
      </c>
      <c r="F107" s="2" t="s">
        <v>15</v>
      </c>
      <c r="G107" s="2"/>
      <c r="H107" s="2">
        <f>_xlfn.XMATCH(CAL[[#This Row],[Allocated Tech]],CAL[[#This Row],[Fleet check Driver logged in]],0)</f>
        <v>1</v>
      </c>
      <c r="I107" s="2"/>
      <c r="J107" s="2"/>
      <c r="K107" s="2" t="e">
        <f>_xlfn.XLOOKUP(CAL[[#This Row],[Registration]],[1]Subscriptions!$A:$A,[1]Subscriptions!#REF!)</f>
        <v>#REF!</v>
      </c>
    </row>
    <row r="108" spans="1:11" x14ac:dyDescent="0.25">
      <c r="A108" s="2" t="s">
        <v>276</v>
      </c>
      <c r="B108" s="2">
        <v>285</v>
      </c>
      <c r="C108" s="2" t="s">
        <v>303</v>
      </c>
      <c r="D108" s="2" t="s">
        <v>304</v>
      </c>
      <c r="E108" s="2"/>
      <c r="F108" s="2" t="s">
        <v>15</v>
      </c>
      <c r="G108" s="2"/>
      <c r="H108" s="2" t="e">
        <f>_xlfn.XMATCH(CAL[[#This Row],[Allocated Tech]],CAL[[#This Row],[Fleet check Driver logged in]],0)</f>
        <v>#N/A</v>
      </c>
      <c r="I108" s="2"/>
      <c r="J108" s="2"/>
      <c r="K108" s="2" t="e">
        <f>_xlfn.XLOOKUP(CAL[[#This Row],[Registration]],[1]Subscriptions!$A:$A,[1]Subscriptions!#REF!)</f>
        <v>#REF!</v>
      </c>
    </row>
    <row r="109" spans="1:11" x14ac:dyDescent="0.25">
      <c r="A109" s="2" t="s">
        <v>276</v>
      </c>
      <c r="B109" s="2">
        <v>331</v>
      </c>
      <c r="C109" s="2" t="s">
        <v>305</v>
      </c>
      <c r="D109" s="2" t="s">
        <v>306</v>
      </c>
      <c r="E109" s="2" t="s">
        <v>307</v>
      </c>
      <c r="F109" s="2" t="s">
        <v>15</v>
      </c>
      <c r="G109" s="2"/>
      <c r="H109" s="2">
        <f>_xlfn.XMATCH(CAL[[#This Row],[Allocated Tech]],CAL[[#This Row],[Fleet check Driver logged in]],0)</f>
        <v>1</v>
      </c>
      <c r="I109" s="2"/>
      <c r="J109" s="2"/>
      <c r="K109" s="2" t="e">
        <f>_xlfn.XLOOKUP(CAL[[#This Row],[Registration]],[1]Subscriptions!$A:$A,[1]Subscriptions!#REF!)</f>
        <v>#REF!</v>
      </c>
    </row>
    <row r="110" spans="1:11" x14ac:dyDescent="0.25">
      <c r="A110" s="2" t="s">
        <v>276</v>
      </c>
      <c r="B110" s="2">
        <v>296</v>
      </c>
      <c r="C110" s="2" t="s">
        <v>308</v>
      </c>
      <c r="D110" s="2" t="s">
        <v>309</v>
      </c>
      <c r="E110" s="2" t="s">
        <v>310</v>
      </c>
      <c r="F110" s="2" t="s">
        <v>15</v>
      </c>
      <c r="G110" s="2"/>
      <c r="H110" s="2">
        <f>_xlfn.XMATCH(CAL[[#This Row],[Allocated Tech]],CAL[[#This Row],[Fleet check Driver logged in]],0)</f>
        <v>1</v>
      </c>
      <c r="I110" s="2"/>
      <c r="J110" s="2"/>
      <c r="K110" s="2" t="e">
        <f>_xlfn.XLOOKUP(CAL[[#This Row],[Registration]],[1]Subscriptions!$A:$A,[1]Subscriptions!#REF!)</f>
        <v>#REF!</v>
      </c>
    </row>
    <row r="111" spans="1:11" x14ac:dyDescent="0.25">
      <c r="A111" s="2" t="s">
        <v>276</v>
      </c>
      <c r="B111" s="2">
        <v>238</v>
      </c>
      <c r="C111" s="2" t="s">
        <v>311</v>
      </c>
      <c r="D111" s="2" t="s">
        <v>312</v>
      </c>
      <c r="E111" s="2" t="s">
        <v>313</v>
      </c>
      <c r="F111" s="2" t="s">
        <v>15</v>
      </c>
      <c r="G111" s="2"/>
      <c r="H111" s="2">
        <f>_xlfn.XMATCH(CAL[[#This Row],[Allocated Tech]],CAL[[#This Row],[Fleet check Driver logged in]],0)</f>
        <v>1</v>
      </c>
      <c r="I111" s="2"/>
      <c r="J111" s="2"/>
      <c r="K111" s="2" t="e">
        <f>_xlfn.XLOOKUP(CAL[[#This Row],[Registration]],[1]Subscriptions!$A:$A,[1]Subscriptions!#REF!)</f>
        <v>#REF!</v>
      </c>
    </row>
    <row r="112" spans="1:11" x14ac:dyDescent="0.25">
      <c r="A112" s="2" t="s">
        <v>276</v>
      </c>
      <c r="B112" s="2">
        <v>814</v>
      </c>
      <c r="C112" s="2" t="s">
        <v>314</v>
      </c>
      <c r="D112" s="2" t="s">
        <v>315</v>
      </c>
      <c r="E112" s="2" t="s">
        <v>316</v>
      </c>
      <c r="F112" s="2" t="s">
        <v>15</v>
      </c>
      <c r="G112" s="2"/>
      <c r="H112" s="2">
        <f>_xlfn.XMATCH(CAL[[#This Row],[Allocated Tech]],CAL[[#This Row],[Fleet check Driver logged in]],0)</f>
        <v>1</v>
      </c>
      <c r="I112" s="2"/>
      <c r="J112" s="2"/>
      <c r="K112" s="2" t="e">
        <f>_xlfn.XLOOKUP(CAL[[#This Row],[Registration]],[1]Subscriptions!$A:$A,[1]Subscriptions!#REF!)</f>
        <v>#REF!</v>
      </c>
    </row>
    <row r="113" spans="1:11" x14ac:dyDescent="0.25">
      <c r="A113" s="2" t="s">
        <v>276</v>
      </c>
      <c r="B113" s="2">
        <v>851</v>
      </c>
      <c r="C113" s="2" t="s">
        <v>317</v>
      </c>
      <c r="D113" s="2" t="s">
        <v>290</v>
      </c>
      <c r="E113" s="2" t="s">
        <v>318</v>
      </c>
      <c r="F113" s="2" t="s">
        <v>15</v>
      </c>
      <c r="G113" s="2"/>
      <c r="H113" s="2" t="e">
        <f>_xlfn.XMATCH(CAL[[#This Row],[Allocated Tech]],CAL[[#This Row],[Fleet check Driver logged in]],0)</f>
        <v>#N/A</v>
      </c>
      <c r="I113" s="2"/>
      <c r="J113" s="2"/>
      <c r="K113" s="2" t="e">
        <f>_xlfn.XLOOKUP(CAL[[#This Row],[Registration]],[1]Subscriptions!$A:$A,[1]Subscriptions!#REF!)</f>
        <v>#REF!</v>
      </c>
    </row>
    <row r="114" spans="1:11" x14ac:dyDescent="0.25">
      <c r="A114" s="2" t="s">
        <v>276</v>
      </c>
      <c r="B114" s="2">
        <v>304</v>
      </c>
      <c r="C114" s="2" t="s">
        <v>319</v>
      </c>
      <c r="D114" s="2" t="s">
        <v>320</v>
      </c>
      <c r="E114" s="2" t="s">
        <v>321</v>
      </c>
      <c r="F114" s="2" t="s">
        <v>15</v>
      </c>
      <c r="G114" s="2"/>
      <c r="H114" s="2">
        <f>_xlfn.XMATCH(CAL[[#This Row],[Allocated Tech]],CAL[[#This Row],[Fleet check Driver logged in]],0)</f>
        <v>1</v>
      </c>
      <c r="I114" s="2"/>
      <c r="J114" s="2"/>
      <c r="K114" s="2" t="e">
        <f>_xlfn.XLOOKUP(CAL[[#This Row],[Registration]],[1]Subscriptions!$A:$A,[1]Subscriptions!#REF!)</f>
        <v>#REF!</v>
      </c>
    </row>
    <row r="115" spans="1:11" x14ac:dyDescent="0.25">
      <c r="A115" s="2" t="s">
        <v>276</v>
      </c>
      <c r="B115" s="2">
        <v>172</v>
      </c>
      <c r="C115" s="2" t="s">
        <v>322</v>
      </c>
      <c r="D115" s="2" t="s">
        <v>323</v>
      </c>
      <c r="E115" s="2" t="s">
        <v>324</v>
      </c>
      <c r="F115" s="2" t="s">
        <v>15</v>
      </c>
      <c r="G115" s="2"/>
      <c r="H115" s="2">
        <f>_xlfn.XMATCH(CAL[[#This Row],[Allocated Tech]],CAL[[#This Row],[Fleet check Driver logged in]],0)</f>
        <v>1</v>
      </c>
      <c r="I115" s="2"/>
      <c r="J115" s="2"/>
      <c r="K115" s="2" t="e">
        <f>_xlfn.XLOOKUP(CAL[[#This Row],[Registration]],[1]Subscriptions!$A:$A,[1]Subscriptions!#REF!)</f>
        <v>#REF!</v>
      </c>
    </row>
    <row r="116" spans="1:11" x14ac:dyDescent="0.25">
      <c r="A116" s="2" t="s">
        <v>276</v>
      </c>
      <c r="B116" s="2">
        <v>161</v>
      </c>
      <c r="C116" s="2" t="s">
        <v>325</v>
      </c>
      <c r="D116" s="2" t="s">
        <v>326</v>
      </c>
      <c r="E116" s="2" t="s">
        <v>327</v>
      </c>
      <c r="F116" s="2" t="s">
        <v>15</v>
      </c>
      <c r="G116" s="2"/>
      <c r="H116" s="2">
        <f>_xlfn.XMATCH(CAL[[#This Row],[Allocated Tech]],CAL[[#This Row],[Fleet check Driver logged in]],0)</f>
        <v>1</v>
      </c>
      <c r="I116" s="2"/>
      <c r="J116" s="2"/>
      <c r="K116" s="2" t="e">
        <f>_xlfn.XLOOKUP(CAL[[#This Row],[Registration]],[1]Subscriptions!$A:$A,[1]Subscriptions!#REF!)</f>
        <v>#REF!</v>
      </c>
    </row>
    <row r="117" spans="1:11" x14ac:dyDescent="0.25">
      <c r="A117" s="2" t="s">
        <v>276</v>
      </c>
      <c r="B117" s="2">
        <v>123</v>
      </c>
      <c r="C117" s="2" t="s">
        <v>328</v>
      </c>
      <c r="D117" s="2" t="s">
        <v>329</v>
      </c>
      <c r="E117" s="2" t="s">
        <v>330</v>
      </c>
      <c r="F117" s="2" t="s">
        <v>15</v>
      </c>
      <c r="G117" s="2"/>
      <c r="H117" s="2" t="e">
        <f>_xlfn.XMATCH(CAL[[#This Row],[Allocated Tech]],CAL[[#This Row],[Fleet check Driver logged in]],0)</f>
        <v>#N/A</v>
      </c>
      <c r="I117" s="2"/>
      <c r="J117" s="2"/>
      <c r="K117" s="2" t="e">
        <f>_xlfn.XLOOKUP(CAL[[#This Row],[Registration]],[1]Subscriptions!$A:$A,[1]Subscriptions!#REF!)</f>
        <v>#REF!</v>
      </c>
    </row>
    <row r="118" spans="1:11" x14ac:dyDescent="0.25">
      <c r="A118" s="2" t="s">
        <v>276</v>
      </c>
      <c r="B118" s="2">
        <v>136</v>
      </c>
      <c r="C118" s="2" t="s">
        <v>331</v>
      </c>
      <c r="D118" s="2" t="s">
        <v>332</v>
      </c>
      <c r="E118" s="2"/>
      <c r="F118" s="2" t="s">
        <v>15</v>
      </c>
      <c r="G118" s="2"/>
      <c r="H118" s="2" t="e">
        <f>_xlfn.XMATCH(CAL[[#This Row],[Allocated Tech]],CAL[[#This Row],[Fleet check Driver logged in]],0)</f>
        <v>#N/A</v>
      </c>
      <c r="I118" s="2"/>
      <c r="J118" s="2"/>
      <c r="K118" s="2" t="e">
        <f>_xlfn.XLOOKUP(CAL[[#This Row],[Registration]],[1]Subscriptions!$A:$A,[1]Subscriptions!#REF!)</f>
        <v>#REF!</v>
      </c>
    </row>
    <row r="119" spans="1:11" x14ac:dyDescent="0.25">
      <c r="A119" s="2" t="s">
        <v>276</v>
      </c>
      <c r="B119" s="2">
        <v>401</v>
      </c>
      <c r="C119" s="2" t="s">
        <v>333</v>
      </c>
      <c r="D119" s="2" t="s">
        <v>334</v>
      </c>
      <c r="E119" s="2" t="s">
        <v>335</v>
      </c>
      <c r="F119" s="2" t="s">
        <v>15</v>
      </c>
      <c r="G119" s="2"/>
      <c r="H119" s="2">
        <f>_xlfn.XMATCH(CAL[[#This Row],[Allocated Tech]],CAL[[#This Row],[Fleet check Driver logged in]],0)</f>
        <v>1</v>
      </c>
      <c r="I119" s="2"/>
      <c r="J119" s="2"/>
      <c r="K119" s="2" t="e">
        <f>_xlfn.XLOOKUP(CAL[[#This Row],[Registration]],[1]Subscriptions!$A:$A,[1]Subscriptions!#REF!)</f>
        <v>#REF!</v>
      </c>
    </row>
    <row r="120" spans="1:11" x14ac:dyDescent="0.25">
      <c r="A120" s="2" t="s">
        <v>276</v>
      </c>
      <c r="B120" s="2">
        <v>353</v>
      </c>
      <c r="C120" s="2" t="s">
        <v>336</v>
      </c>
      <c r="D120" s="2" t="s">
        <v>337</v>
      </c>
      <c r="E120" s="2" t="s">
        <v>338</v>
      </c>
      <c r="F120" s="2" t="s">
        <v>15</v>
      </c>
      <c r="G120" s="2"/>
      <c r="H120" s="2">
        <f>_xlfn.XMATCH(CAL[[#This Row],[Allocated Tech]],CAL[[#This Row],[Fleet check Driver logged in]],0)</f>
        <v>1</v>
      </c>
      <c r="I120" s="2"/>
      <c r="J120" s="2"/>
      <c r="K120" s="2" t="e">
        <f>_xlfn.XLOOKUP(CAL[[#This Row],[Registration]],[1]Subscriptions!$A:$A,[1]Subscriptions!#REF!)</f>
        <v>#REF!</v>
      </c>
    </row>
    <row r="121" spans="1:11" x14ac:dyDescent="0.25">
      <c r="A121" s="2" t="s">
        <v>276</v>
      </c>
      <c r="B121" s="2">
        <v>268</v>
      </c>
      <c r="C121" s="2" t="s">
        <v>339</v>
      </c>
      <c r="D121" s="2" t="s">
        <v>340</v>
      </c>
      <c r="E121" s="2" t="s">
        <v>341</v>
      </c>
      <c r="F121" s="2" t="s">
        <v>15</v>
      </c>
      <c r="G121" s="2"/>
      <c r="H121" s="2" t="e">
        <f>_xlfn.XMATCH(CAL[[#This Row],[Allocated Tech]],CAL[[#This Row],[Fleet check Driver logged in]],0)</f>
        <v>#N/A</v>
      </c>
      <c r="I121" s="2"/>
      <c r="J121" s="2"/>
      <c r="K121" s="2" t="e">
        <f>_xlfn.XLOOKUP(CAL[[#This Row],[Registration]],[1]Subscriptions!$A:$A,[1]Subscriptions!#REF!)</f>
        <v>#REF!</v>
      </c>
    </row>
    <row r="122" spans="1:11" x14ac:dyDescent="0.25">
      <c r="A122" s="2" t="s">
        <v>276</v>
      </c>
      <c r="B122" s="2">
        <v>550</v>
      </c>
      <c r="C122" s="2" t="s">
        <v>342</v>
      </c>
      <c r="D122" s="2" t="s">
        <v>343</v>
      </c>
      <c r="E122" s="2" t="s">
        <v>344</v>
      </c>
      <c r="F122" s="2" t="s">
        <v>15</v>
      </c>
      <c r="G122" s="2"/>
      <c r="H122" s="2" t="e">
        <f>_xlfn.XMATCH(CAL[[#This Row],[Allocated Tech]],CAL[[#This Row],[Fleet check Driver logged in]],0)</f>
        <v>#N/A</v>
      </c>
      <c r="I122" s="2"/>
      <c r="J122" s="2"/>
      <c r="K122" s="2" t="e">
        <f>_xlfn.XLOOKUP(CAL[[#This Row],[Registration]],[1]Subscriptions!$A:$A,[1]Subscriptions!#REF!)</f>
        <v>#REF!</v>
      </c>
    </row>
    <row r="123" spans="1:11" x14ac:dyDescent="0.25">
      <c r="A123" s="2" t="s">
        <v>276</v>
      </c>
      <c r="B123" s="2">
        <v>592</v>
      </c>
      <c r="C123" s="2" t="s">
        <v>345</v>
      </c>
      <c r="D123" s="2" t="s">
        <v>346</v>
      </c>
      <c r="E123" s="2" t="s">
        <v>347</v>
      </c>
      <c r="F123" s="2" t="s">
        <v>15</v>
      </c>
      <c r="G123" s="2"/>
      <c r="H123" s="2" t="e">
        <f>_xlfn.XMATCH(CAL[[#This Row],[Allocated Tech]],CAL[[#This Row],[Fleet check Driver logged in]],0)</f>
        <v>#N/A</v>
      </c>
      <c r="I123" s="2"/>
      <c r="J123" s="2"/>
      <c r="K123" s="2" t="e">
        <f>_xlfn.XLOOKUP(CAL[[#This Row],[Registration]],[1]Subscriptions!$A:$A,[1]Subscriptions!#REF!)</f>
        <v>#REF!</v>
      </c>
    </row>
    <row r="124" spans="1:11" x14ac:dyDescent="0.25">
      <c r="A124" s="2" t="s">
        <v>276</v>
      </c>
      <c r="B124" s="2"/>
      <c r="C124" s="2" t="s">
        <v>348</v>
      </c>
      <c r="D124" s="2"/>
      <c r="E124" s="2"/>
      <c r="F124" s="2" t="s">
        <v>15</v>
      </c>
      <c r="G124" s="2"/>
      <c r="H124" s="2">
        <f>_xlfn.XMATCH(CAL[[#This Row],[Allocated Tech]],CAL[[#This Row],[Fleet check Driver logged in]],0)</f>
        <v>1</v>
      </c>
      <c r="I124" s="2"/>
      <c r="J124" s="2"/>
      <c r="K124" s="2" t="e">
        <f>_xlfn.XLOOKUP(CAL[[#This Row],[Registration]],[1]Subscriptions!$A:$A,[1]Subscriptions!#REF!)</f>
        <v>#REF!</v>
      </c>
    </row>
    <row r="125" spans="1:11" x14ac:dyDescent="0.25">
      <c r="A125" s="2" t="s">
        <v>276</v>
      </c>
      <c r="B125" s="2"/>
      <c r="C125" s="2" t="s">
        <v>349</v>
      </c>
      <c r="D125" s="2"/>
      <c r="E125" s="2"/>
      <c r="F125" s="2" t="s">
        <v>15</v>
      </c>
      <c r="G125" s="2"/>
      <c r="H125" s="2">
        <f>_xlfn.XMATCH(CAL[[#This Row],[Allocated Tech]],CAL[[#This Row],[Fleet check Driver logged in]],0)</f>
        <v>1</v>
      </c>
      <c r="I125" s="2"/>
      <c r="J125" s="2"/>
      <c r="K125" s="2" t="e">
        <f>_xlfn.XLOOKUP(CAL[[#This Row],[Registration]],[1]Subscriptions!$A:$A,[1]Subscriptions!#REF!)</f>
        <v>#REF!</v>
      </c>
    </row>
    <row r="126" spans="1:11" x14ac:dyDescent="0.25">
      <c r="A126" s="2" t="s">
        <v>276</v>
      </c>
      <c r="B126" s="2">
        <v>154</v>
      </c>
      <c r="C126" s="2" t="s">
        <v>350</v>
      </c>
      <c r="D126" s="2" t="s">
        <v>351</v>
      </c>
      <c r="E126" s="2" t="s">
        <v>352</v>
      </c>
      <c r="F126" s="2" t="s">
        <v>15</v>
      </c>
      <c r="G126" s="2"/>
      <c r="H126" s="2">
        <f>_xlfn.XMATCH(CAL[[#This Row],[Allocated Tech]],CAL[[#This Row],[Fleet check Driver logged in]],0)</f>
        <v>1</v>
      </c>
      <c r="I126" s="2"/>
      <c r="J126" s="2"/>
      <c r="K126" s="2" t="e">
        <f>_xlfn.XLOOKUP(CAL[[#This Row],[Registration]],[1]Subscriptions!$A:$A,[1]Subscriptions!#REF!)</f>
        <v>#REF!</v>
      </c>
    </row>
    <row r="127" spans="1:11" x14ac:dyDescent="0.25">
      <c r="A127" s="2" t="s">
        <v>276</v>
      </c>
      <c r="B127" s="2">
        <v>185</v>
      </c>
      <c r="C127" s="2" t="s">
        <v>353</v>
      </c>
      <c r="D127" s="2" t="s">
        <v>354</v>
      </c>
      <c r="E127" s="2"/>
      <c r="F127" s="2" t="s">
        <v>15</v>
      </c>
      <c r="G127" s="2"/>
      <c r="H127" s="2" t="e">
        <f>_xlfn.XMATCH(CAL[[#This Row],[Allocated Tech]],CAL[[#This Row],[Fleet check Driver logged in]],0)</f>
        <v>#N/A</v>
      </c>
      <c r="I127" s="2"/>
      <c r="J127" s="2"/>
      <c r="K127" s="2" t="e">
        <f>_xlfn.XLOOKUP(CAL[[#This Row],[Registration]],[1]Subscriptions!$A:$A,[1]Subscriptions!#REF!)</f>
        <v>#REF!</v>
      </c>
    </row>
    <row r="128" spans="1:11" x14ac:dyDescent="0.25">
      <c r="A128" s="2" t="s">
        <v>276</v>
      </c>
      <c r="B128" s="2">
        <v>609</v>
      </c>
      <c r="C128" s="2" t="s">
        <v>355</v>
      </c>
      <c r="D128" s="2" t="s">
        <v>356</v>
      </c>
      <c r="E128" s="2" t="s">
        <v>357</v>
      </c>
      <c r="F128" s="2" t="s">
        <v>15</v>
      </c>
      <c r="G128" s="2"/>
      <c r="H128" s="2">
        <f>_xlfn.XMATCH(CAL[[#This Row],[Allocated Tech]],CAL[[#This Row],[Fleet check Driver logged in]],0)</f>
        <v>1</v>
      </c>
      <c r="I128" s="2"/>
      <c r="J128" s="2"/>
      <c r="K128" s="2" t="e">
        <f>_xlfn.XLOOKUP(CAL[[#This Row],[Registration]],[1]Subscriptions!$A:$A,[1]Subscriptions!#REF!)</f>
        <v>#REF!</v>
      </c>
    </row>
    <row r="129" spans="1:11" x14ac:dyDescent="0.25">
      <c r="A129" s="2" t="s">
        <v>276</v>
      </c>
      <c r="B129" s="2">
        <v>278</v>
      </c>
      <c r="C129" s="2" t="s">
        <v>358</v>
      </c>
      <c r="D129" s="2" t="s">
        <v>290</v>
      </c>
      <c r="E129" s="2"/>
      <c r="F129" s="2" t="s">
        <v>15</v>
      </c>
      <c r="G129" s="2"/>
      <c r="H129" s="2" t="e">
        <f>_xlfn.XMATCH(CAL[[#This Row],[Allocated Tech]],CAL[[#This Row],[Fleet check Driver logged in]],0)</f>
        <v>#N/A</v>
      </c>
      <c r="I129" s="2"/>
      <c r="J129" s="2"/>
      <c r="K129" s="2" t="e">
        <f>_xlfn.XLOOKUP(CAL[[#This Row],[Registration]],[1]Subscriptions!$A:$A,[1]Subscriptions!#REF!)</f>
        <v>#REF!</v>
      </c>
    </row>
    <row r="130" spans="1:11" x14ac:dyDescent="0.25">
      <c r="A130" s="2" t="s">
        <v>276</v>
      </c>
      <c r="B130" s="2">
        <v>302</v>
      </c>
      <c r="C130" s="2" t="s">
        <v>359</v>
      </c>
      <c r="D130" s="2" t="s">
        <v>360</v>
      </c>
      <c r="E130" s="2" t="s">
        <v>361</v>
      </c>
      <c r="F130" s="2" t="s">
        <v>15</v>
      </c>
      <c r="G130" s="2"/>
      <c r="H130" s="2">
        <f>_xlfn.XMATCH(CAL[[#This Row],[Allocated Tech]],CAL[[#This Row],[Fleet check Driver logged in]],0)</f>
        <v>1</v>
      </c>
      <c r="I130" s="2"/>
      <c r="J130" s="2"/>
      <c r="K130" s="2" t="e">
        <f>_xlfn.XLOOKUP(CAL[[#This Row],[Registration]],[1]Subscriptions!$A:$A,[1]Subscriptions!#REF!)</f>
        <v>#REF!</v>
      </c>
    </row>
    <row r="131" spans="1:11" x14ac:dyDescent="0.25">
      <c r="A131" s="2" t="s">
        <v>276</v>
      </c>
      <c r="B131" s="2">
        <v>303</v>
      </c>
      <c r="C131" s="2" t="s">
        <v>362</v>
      </c>
      <c r="D131" s="2" t="s">
        <v>363</v>
      </c>
      <c r="E131" s="2" t="s">
        <v>364</v>
      </c>
      <c r="F131" s="2" t="s">
        <v>15</v>
      </c>
      <c r="G131" s="2"/>
      <c r="H131" s="2" t="e">
        <f>_xlfn.XMATCH(CAL[[#This Row],[Allocated Tech]],CAL[[#This Row],[Fleet check Driver logged in]],0)</f>
        <v>#N/A</v>
      </c>
      <c r="I131" s="2"/>
      <c r="J131" s="2"/>
      <c r="K131" s="2" t="e">
        <f>_xlfn.XLOOKUP(CAL[[#This Row],[Registration]],[1]Subscriptions!$A:$A,[1]Subscriptions!#REF!)</f>
        <v>#REF!</v>
      </c>
    </row>
    <row r="132" spans="1:11" x14ac:dyDescent="0.25">
      <c r="A132" s="2" t="s">
        <v>276</v>
      </c>
      <c r="B132" s="2">
        <v>338</v>
      </c>
      <c r="C132" s="2" t="s">
        <v>365</v>
      </c>
      <c r="D132" s="2" t="s">
        <v>366</v>
      </c>
      <c r="E132" s="2" t="s">
        <v>367</v>
      </c>
      <c r="F132" s="2" t="s">
        <v>15</v>
      </c>
      <c r="G132" s="2"/>
      <c r="H132" s="2">
        <f>_xlfn.XMATCH(CAL[[#This Row],[Allocated Tech]],CAL[[#This Row],[Fleet check Driver logged in]],0)</f>
        <v>1</v>
      </c>
      <c r="I132" s="2"/>
      <c r="J132" s="2"/>
      <c r="K132" s="2" t="e">
        <f>_xlfn.XLOOKUP(CAL[[#This Row],[Registration]],[1]Subscriptions!$A:$A,[1]Subscriptions!#REF!)</f>
        <v>#REF!</v>
      </c>
    </row>
    <row r="133" spans="1:11" x14ac:dyDescent="0.25">
      <c r="A133" s="2" t="s">
        <v>276</v>
      </c>
      <c r="B133" s="2">
        <v>856</v>
      </c>
      <c r="C133" s="2" t="s">
        <v>368</v>
      </c>
      <c r="D133" s="2" t="s">
        <v>326</v>
      </c>
      <c r="E133" s="2" t="s">
        <v>369</v>
      </c>
      <c r="F133" s="2" t="s">
        <v>15</v>
      </c>
      <c r="G133" s="2"/>
      <c r="H133" s="2" t="e">
        <f>_xlfn.XMATCH(CAL[[#This Row],[Allocated Tech]],CAL[[#This Row],[Fleet check Driver logged in]],0)</f>
        <v>#N/A</v>
      </c>
      <c r="I133" s="2"/>
      <c r="J133" s="2"/>
      <c r="K133" s="2" t="e">
        <f>_xlfn.XLOOKUP(CAL[[#This Row],[Registration]],[1]Subscriptions!$A:$A,[1]Subscriptions!#REF!)</f>
        <v>#REF!</v>
      </c>
    </row>
    <row r="134" spans="1:11" x14ac:dyDescent="0.25">
      <c r="A134" s="2" t="s">
        <v>276</v>
      </c>
      <c r="B134" s="2">
        <v>534</v>
      </c>
      <c r="C134" s="2" t="s">
        <v>370</v>
      </c>
      <c r="D134" s="2" t="s">
        <v>371</v>
      </c>
      <c r="E134" s="2" t="s">
        <v>372</v>
      </c>
      <c r="F134" s="2" t="s">
        <v>15</v>
      </c>
      <c r="G134" s="2"/>
      <c r="H134" s="2" t="e">
        <f>_xlfn.XMATCH(CAL[[#This Row],[Allocated Tech]],CAL[[#This Row],[Fleet check Driver logged in]],0)</f>
        <v>#N/A</v>
      </c>
      <c r="I134" s="2"/>
      <c r="J134" s="2"/>
      <c r="K134" s="2" t="e">
        <f>_xlfn.XLOOKUP(CAL[[#This Row],[Registration]],[1]Subscriptions!$A:$A,[1]Subscriptions!#REF!)</f>
        <v>#REF!</v>
      </c>
    </row>
    <row r="135" spans="1:11" x14ac:dyDescent="0.25">
      <c r="A135" s="2" t="s">
        <v>276</v>
      </c>
      <c r="B135" s="2">
        <v>514</v>
      </c>
      <c r="C135" s="2" t="s">
        <v>373</v>
      </c>
      <c r="D135" s="2" t="s">
        <v>374</v>
      </c>
      <c r="E135" s="2" t="s">
        <v>375</v>
      </c>
      <c r="F135" s="2" t="s">
        <v>15</v>
      </c>
      <c r="G135" s="2"/>
      <c r="H135" s="2">
        <f>_xlfn.XMATCH(CAL[[#This Row],[Allocated Tech]],CAL[[#This Row],[Fleet check Driver logged in]],0)</f>
        <v>1</v>
      </c>
      <c r="I135" s="2"/>
      <c r="J135" s="2"/>
      <c r="K135" s="2" t="e">
        <f>_xlfn.XLOOKUP(CAL[[#This Row],[Registration]],[1]Subscriptions!$A:$A,[1]Subscriptions!#REF!)</f>
        <v>#REF!</v>
      </c>
    </row>
    <row r="136" spans="1:11" x14ac:dyDescent="0.25">
      <c r="A136" s="2" t="s">
        <v>276</v>
      </c>
      <c r="B136" s="2">
        <v>244</v>
      </c>
      <c r="C136" s="2" t="s">
        <v>376</v>
      </c>
      <c r="D136" s="2" t="s">
        <v>377</v>
      </c>
      <c r="E136" s="2" t="s">
        <v>378</v>
      </c>
      <c r="F136" s="2" t="s">
        <v>15</v>
      </c>
      <c r="G136" s="2"/>
      <c r="H136" s="2">
        <f>_xlfn.XMATCH(CAL[[#This Row],[Allocated Tech]],CAL[[#This Row],[Fleet check Driver logged in]],0)</f>
        <v>1</v>
      </c>
      <c r="I136" s="2"/>
      <c r="J136" s="2"/>
      <c r="K136" s="2" t="e">
        <f>_xlfn.XLOOKUP(CAL[[#This Row],[Registration]],[1]Subscriptions!$A:$A,[1]Subscriptions!#REF!)</f>
        <v>#REF!</v>
      </c>
    </row>
    <row r="137" spans="1:11" x14ac:dyDescent="0.25">
      <c r="A137" s="2" t="s">
        <v>276</v>
      </c>
      <c r="B137" s="2">
        <v>214</v>
      </c>
      <c r="C137" s="2" t="s">
        <v>379</v>
      </c>
      <c r="D137" s="2" t="s">
        <v>380</v>
      </c>
      <c r="E137" s="2" t="s">
        <v>381</v>
      </c>
      <c r="F137" s="2" t="s">
        <v>15</v>
      </c>
      <c r="G137" s="2"/>
      <c r="H137" s="2">
        <f>_xlfn.XMATCH(CAL[[#This Row],[Allocated Tech]],CAL[[#This Row],[Fleet check Driver logged in]],0)</f>
        <v>1</v>
      </c>
      <c r="I137" s="2"/>
      <c r="J137" s="2"/>
      <c r="K137" s="2" t="e">
        <f>_xlfn.XLOOKUP(CAL[[#This Row],[Registration]],[1]Subscriptions!$A:$A,[1]Subscriptions!#REF!)</f>
        <v>#REF!</v>
      </c>
    </row>
    <row r="138" spans="1:11" x14ac:dyDescent="0.25">
      <c r="A138" s="2" t="s">
        <v>276</v>
      </c>
      <c r="B138" s="2">
        <v>122</v>
      </c>
      <c r="C138" s="2" t="s">
        <v>382</v>
      </c>
      <c r="D138" s="2" t="s">
        <v>383</v>
      </c>
      <c r="E138" s="2" t="s">
        <v>384</v>
      </c>
      <c r="F138" s="2" t="s">
        <v>15</v>
      </c>
      <c r="G138" s="2"/>
      <c r="H138" s="2">
        <f>_xlfn.XMATCH(CAL[[#This Row],[Allocated Tech]],CAL[[#This Row],[Fleet check Driver logged in]],0)</f>
        <v>1</v>
      </c>
      <c r="I138" s="2"/>
      <c r="J138" s="2"/>
      <c r="K138" s="2" t="e">
        <f>_xlfn.XLOOKUP(CAL[[#This Row],[Registration]],[1]Subscriptions!$A:$A,[1]Subscriptions!#REF!)</f>
        <v>#REF!</v>
      </c>
    </row>
    <row r="139" spans="1:11" x14ac:dyDescent="0.25">
      <c r="A139" s="2" t="s">
        <v>276</v>
      </c>
      <c r="B139" s="2">
        <v>200</v>
      </c>
      <c r="C139" s="2" t="s">
        <v>385</v>
      </c>
      <c r="D139" s="2" t="s">
        <v>386</v>
      </c>
      <c r="E139" s="2" t="s">
        <v>387</v>
      </c>
      <c r="F139" s="2" t="s">
        <v>15</v>
      </c>
      <c r="G139" s="2"/>
      <c r="H139" s="2">
        <f>_xlfn.XMATCH(CAL[[#This Row],[Allocated Tech]],CAL[[#This Row],[Fleet check Driver logged in]],0)</f>
        <v>1</v>
      </c>
      <c r="I139" s="2"/>
      <c r="J139" s="2"/>
      <c r="K139" s="2" t="e">
        <f>_xlfn.XLOOKUP(CAL[[#This Row],[Registration]],[1]Subscriptions!$A:$A,[1]Subscriptions!#REF!)</f>
        <v>#REF!</v>
      </c>
    </row>
    <row r="140" spans="1:11" x14ac:dyDescent="0.25">
      <c r="A140" s="2" t="s">
        <v>276</v>
      </c>
      <c r="B140" s="2">
        <v>143</v>
      </c>
      <c r="C140" s="2" t="s">
        <v>388</v>
      </c>
      <c r="D140" s="2" t="s">
        <v>389</v>
      </c>
      <c r="E140" s="2" t="s">
        <v>390</v>
      </c>
      <c r="F140" s="2" t="s">
        <v>15</v>
      </c>
      <c r="G140" s="2"/>
      <c r="H140" s="2">
        <f>_xlfn.XMATCH(CAL[[#This Row],[Allocated Tech]],CAL[[#This Row],[Fleet check Driver logged in]],0)</f>
        <v>1</v>
      </c>
      <c r="I140" s="2"/>
      <c r="J140" s="2"/>
      <c r="K140" s="2" t="e">
        <f>_xlfn.XLOOKUP(CAL[[#This Row],[Registration]],[1]Subscriptions!$A:$A,[1]Subscriptions!#REF!)</f>
        <v>#REF!</v>
      </c>
    </row>
    <row r="141" spans="1:11" x14ac:dyDescent="0.25">
      <c r="A141" s="2" t="s">
        <v>276</v>
      </c>
      <c r="B141" s="2">
        <v>350</v>
      </c>
      <c r="C141" s="2" t="s">
        <v>391</v>
      </c>
      <c r="D141" s="2" t="s">
        <v>392</v>
      </c>
      <c r="E141" s="2" t="s">
        <v>393</v>
      </c>
      <c r="F141" s="2" t="s">
        <v>15</v>
      </c>
      <c r="G141" s="2"/>
      <c r="H141" s="2">
        <f>_xlfn.XMATCH(CAL[[#This Row],[Allocated Tech]],CAL[[#This Row],[Fleet check Driver logged in]],0)</f>
        <v>1</v>
      </c>
      <c r="I141" s="2"/>
      <c r="J141" s="2"/>
      <c r="K141" s="2" t="e">
        <f>_xlfn.XLOOKUP(CAL[[#This Row],[Registration]],[1]Subscriptions!$A:$A,[1]Subscriptions!#REF!)</f>
        <v>#REF!</v>
      </c>
    </row>
    <row r="142" spans="1:11" x14ac:dyDescent="0.25">
      <c r="A142" s="2" t="s">
        <v>276</v>
      </c>
      <c r="B142" s="2">
        <v>242</v>
      </c>
      <c r="C142" s="2" t="s">
        <v>394</v>
      </c>
      <c r="D142" s="2" t="s">
        <v>395</v>
      </c>
      <c r="E142" s="2" t="s">
        <v>396</v>
      </c>
      <c r="F142" s="2" t="s">
        <v>15</v>
      </c>
      <c r="G142" s="2"/>
      <c r="H142" s="2">
        <f>_xlfn.XMATCH(CAL[[#This Row],[Allocated Tech]],CAL[[#This Row],[Fleet check Driver logged in]],0)</f>
        <v>1</v>
      </c>
      <c r="I142" s="2"/>
      <c r="J142" s="2"/>
      <c r="K142" s="2" t="e">
        <f>_xlfn.XLOOKUP(CAL[[#This Row],[Registration]],[1]Subscriptions!$A:$A,[1]Subscriptions!#REF!)</f>
        <v>#REF!</v>
      </c>
    </row>
    <row r="143" spans="1:11" x14ac:dyDescent="0.25">
      <c r="A143" s="2" t="s">
        <v>276</v>
      </c>
      <c r="B143" s="2">
        <v>402</v>
      </c>
      <c r="C143" s="2" t="s">
        <v>397</v>
      </c>
      <c r="D143" s="2" t="s">
        <v>398</v>
      </c>
      <c r="E143" s="2" t="s">
        <v>399</v>
      </c>
      <c r="F143" s="2" t="s">
        <v>15</v>
      </c>
      <c r="G143" s="2"/>
      <c r="H143" s="2">
        <f>_xlfn.XMATCH(CAL[[#This Row],[Allocated Tech]],CAL[[#This Row],[Fleet check Driver logged in]],0)</f>
        <v>1</v>
      </c>
      <c r="I143" s="2"/>
      <c r="J143" s="2"/>
      <c r="K143" s="2" t="e">
        <f>_xlfn.XLOOKUP(CAL[[#This Row],[Registration]],[1]Subscriptions!$A:$A,[1]Subscriptions!#REF!)</f>
        <v>#REF!</v>
      </c>
    </row>
    <row r="144" spans="1:11" x14ac:dyDescent="0.25">
      <c r="A144" s="2" t="s">
        <v>276</v>
      </c>
      <c r="B144" s="2">
        <v>880</v>
      </c>
      <c r="C144" s="2" t="s">
        <v>400</v>
      </c>
      <c r="D144" s="2" t="s">
        <v>401</v>
      </c>
      <c r="E144" s="2" t="s">
        <v>402</v>
      </c>
      <c r="F144" s="2" t="s">
        <v>15</v>
      </c>
      <c r="G144" s="2"/>
      <c r="H144" s="2" t="e">
        <f>_xlfn.XMATCH(CAL[[#This Row],[Allocated Tech]],CAL[[#This Row],[Fleet check Driver logged in]],0)</f>
        <v>#N/A</v>
      </c>
      <c r="I144" s="2"/>
      <c r="J144" s="2"/>
      <c r="K144" s="2" t="e">
        <f>_xlfn.XLOOKUP(CAL[[#This Row],[Registration]],[1]Subscriptions!$A:$A,[1]Subscriptions!#REF!)</f>
        <v>#REF!</v>
      </c>
    </row>
    <row r="145" spans="1:11" x14ac:dyDescent="0.25">
      <c r="A145" s="2" t="s">
        <v>276</v>
      </c>
      <c r="B145" s="2">
        <v>303</v>
      </c>
      <c r="C145" s="2" t="s">
        <v>403</v>
      </c>
      <c r="D145" s="2" t="s">
        <v>404</v>
      </c>
      <c r="E145" s="2" t="s">
        <v>405</v>
      </c>
      <c r="F145" s="2" t="s">
        <v>15</v>
      </c>
      <c r="G145" s="2"/>
      <c r="H145" s="2" t="e">
        <f>_xlfn.XMATCH(CAL[[#This Row],[Allocated Tech]],CAL[[#This Row],[Fleet check Driver logged in]],0)</f>
        <v>#N/A</v>
      </c>
      <c r="I145" s="2"/>
      <c r="J145" s="2"/>
      <c r="K145" s="2" t="e">
        <f>_xlfn.XLOOKUP(CAL[[#This Row],[Registration]],[1]Subscriptions!$A:$A,[1]Subscriptions!#REF!)</f>
        <v>#REF!</v>
      </c>
    </row>
    <row r="146" spans="1:11" x14ac:dyDescent="0.25">
      <c r="A146" s="2" t="s">
        <v>276</v>
      </c>
      <c r="B146" s="2">
        <v>875</v>
      </c>
      <c r="C146" s="2" t="s">
        <v>406</v>
      </c>
      <c r="D146" s="2" t="s">
        <v>407</v>
      </c>
      <c r="E146" s="2" t="s">
        <v>408</v>
      </c>
      <c r="F146" s="2" t="s">
        <v>15</v>
      </c>
      <c r="G146" s="2"/>
      <c r="H146" s="2">
        <f>_xlfn.XMATCH(CAL[[#This Row],[Allocated Tech]],CAL[[#This Row],[Fleet check Driver logged in]],0)</f>
        <v>1</v>
      </c>
      <c r="I146" s="2"/>
      <c r="J146" s="2"/>
      <c r="K146" s="2" t="e">
        <f>_xlfn.XLOOKUP(CAL[[#This Row],[Registration]],[1]Subscriptions!$A:$A,[1]Subscriptions!#REF!)</f>
        <v>#REF!</v>
      </c>
    </row>
    <row r="147" spans="1:11" x14ac:dyDescent="0.25">
      <c r="A147" s="2" t="s">
        <v>276</v>
      </c>
      <c r="B147" s="2">
        <v>726</v>
      </c>
      <c r="C147" s="2" t="s">
        <v>409</v>
      </c>
      <c r="D147" s="2" t="s">
        <v>410</v>
      </c>
      <c r="E147" s="2" t="s">
        <v>411</v>
      </c>
      <c r="F147" s="2" t="s">
        <v>15</v>
      </c>
      <c r="G147" s="2"/>
      <c r="H147" s="2">
        <f>_xlfn.XMATCH(CAL[[#This Row],[Allocated Tech]],CAL[[#This Row],[Fleet check Driver logged in]],0)</f>
        <v>1</v>
      </c>
      <c r="I147" s="2"/>
      <c r="J147" s="2"/>
      <c r="K147" s="2" t="e">
        <f>_xlfn.XLOOKUP(CAL[[#This Row],[Registration]],[1]Subscriptions!$A:$A,[1]Subscriptions!#REF!)</f>
        <v>#REF!</v>
      </c>
    </row>
    <row r="148" spans="1:11" x14ac:dyDescent="0.25">
      <c r="A148" s="2" t="s">
        <v>276</v>
      </c>
      <c r="B148" s="2">
        <v>525</v>
      </c>
      <c r="C148" s="2" t="s">
        <v>412</v>
      </c>
      <c r="D148" s="2" t="s">
        <v>413</v>
      </c>
      <c r="E148" s="2" t="s">
        <v>414</v>
      </c>
      <c r="F148" s="2" t="s">
        <v>15</v>
      </c>
      <c r="G148" s="2"/>
      <c r="H148" s="2" t="e">
        <f>_xlfn.XMATCH(CAL[[#This Row],[Allocated Tech]],CAL[[#This Row],[Fleet check Driver logged in]],0)</f>
        <v>#N/A</v>
      </c>
      <c r="I148" s="2"/>
      <c r="J148" s="2"/>
      <c r="K148" s="2" t="e">
        <f>_xlfn.XLOOKUP(CAL[[#This Row],[Registration]],[1]Subscriptions!$A:$A,[1]Subscriptions!#REF!)</f>
        <v>#REF!</v>
      </c>
    </row>
    <row r="149" spans="1:11" x14ac:dyDescent="0.25">
      <c r="A149" s="2" t="s">
        <v>415</v>
      </c>
      <c r="B149" s="2">
        <v>755</v>
      </c>
      <c r="C149" s="2" t="s">
        <v>416</v>
      </c>
      <c r="D149" s="2" t="s">
        <v>417</v>
      </c>
      <c r="E149" s="2" t="s">
        <v>418</v>
      </c>
      <c r="F149" s="2" t="s">
        <v>15</v>
      </c>
      <c r="G149" s="2"/>
      <c r="H149" s="2">
        <f>_xlfn.XMATCH(CAL[[#This Row],[Allocated Tech]],CAL[[#This Row],[Fleet check Driver logged in]],0)</f>
        <v>1</v>
      </c>
      <c r="I149" s="2"/>
      <c r="J149" s="2"/>
      <c r="K149" s="2" t="e">
        <f>_xlfn.XLOOKUP(CAL[[#This Row],[Registration]],[1]Subscriptions!$A:$A,[1]Subscriptions!#REF!)</f>
        <v>#REF!</v>
      </c>
    </row>
    <row r="150" spans="1:11" x14ac:dyDescent="0.25">
      <c r="A150" s="2" t="s">
        <v>415</v>
      </c>
      <c r="B150" s="2">
        <v>523</v>
      </c>
      <c r="C150" s="2" t="s">
        <v>419</v>
      </c>
      <c r="D150" s="2" t="s">
        <v>420</v>
      </c>
      <c r="E150" s="2" t="s">
        <v>421</v>
      </c>
      <c r="F150" s="2" t="s">
        <v>15</v>
      </c>
      <c r="G150" s="2"/>
      <c r="H150" s="2">
        <f>_xlfn.XMATCH(CAL[[#This Row],[Allocated Tech]],CAL[[#This Row],[Fleet check Driver logged in]],0)</f>
        <v>1</v>
      </c>
      <c r="I150" s="2"/>
      <c r="J150" s="2"/>
      <c r="K150" s="2" t="e">
        <f>_xlfn.XLOOKUP(CAL[[#This Row],[Registration]],[1]Subscriptions!$A:$A,[1]Subscriptions!#REF!)</f>
        <v>#REF!</v>
      </c>
    </row>
    <row r="151" spans="1:11" x14ac:dyDescent="0.25">
      <c r="A151" s="2" t="s">
        <v>415</v>
      </c>
      <c r="B151" s="2">
        <v>857</v>
      </c>
      <c r="C151" s="2" t="s">
        <v>422</v>
      </c>
      <c r="D151" s="2" t="s">
        <v>290</v>
      </c>
      <c r="E151" s="2" t="s">
        <v>423</v>
      </c>
      <c r="F151" s="2" t="s">
        <v>15</v>
      </c>
      <c r="G151" s="2"/>
      <c r="H151" s="2" t="e">
        <f>_xlfn.XMATCH(CAL[[#This Row],[Allocated Tech]],CAL[[#This Row],[Fleet check Driver logged in]],0)</f>
        <v>#N/A</v>
      </c>
      <c r="I151" s="2"/>
      <c r="J151" s="2"/>
      <c r="K151" s="2" t="e">
        <f>_xlfn.XLOOKUP(CAL[[#This Row],[Registration]],[1]Subscriptions!$A:$A,[1]Subscriptions!#REF!)</f>
        <v>#REF!</v>
      </c>
    </row>
    <row r="152" spans="1:11" x14ac:dyDescent="0.25">
      <c r="A152" s="2" t="s">
        <v>415</v>
      </c>
      <c r="B152" s="2">
        <v>575</v>
      </c>
      <c r="C152" s="2" t="s">
        <v>424</v>
      </c>
      <c r="D152" s="2" t="s">
        <v>425</v>
      </c>
      <c r="E152" s="2" t="s">
        <v>426</v>
      </c>
      <c r="F152" s="2" t="s">
        <v>15</v>
      </c>
      <c r="G152" s="2"/>
      <c r="H152" s="2">
        <f>_xlfn.XMATCH(CAL[[#This Row],[Allocated Tech]],CAL[[#This Row],[Fleet check Driver logged in]],0)</f>
        <v>1</v>
      </c>
      <c r="I152" s="2"/>
      <c r="J152" s="2"/>
      <c r="K152" s="2" t="e">
        <f>_xlfn.XLOOKUP(CAL[[#This Row],[Registration]],[1]Subscriptions!$A:$A,[1]Subscriptions!#REF!)</f>
        <v>#REF!</v>
      </c>
    </row>
    <row r="153" spans="1:11" x14ac:dyDescent="0.25">
      <c r="A153" s="2" t="s">
        <v>415</v>
      </c>
      <c r="B153" s="2">
        <v>404</v>
      </c>
      <c r="C153" s="2" t="s">
        <v>427</v>
      </c>
      <c r="D153" s="2" t="s">
        <v>428</v>
      </c>
      <c r="E153" s="2" t="s">
        <v>429</v>
      </c>
      <c r="F153" s="2" t="s">
        <v>15</v>
      </c>
      <c r="G153" s="2"/>
      <c r="H153" s="2" t="e">
        <f>_xlfn.XMATCH(CAL[[#This Row],[Allocated Tech]],CAL[[#This Row],[Fleet check Driver logged in]],0)</f>
        <v>#N/A</v>
      </c>
      <c r="I153" s="2"/>
      <c r="J153" s="2"/>
      <c r="K153" s="2" t="e">
        <f>_xlfn.XLOOKUP(CAL[[#This Row],[Registration]],[1]Subscriptions!$A:$A,[1]Subscriptions!#REF!)</f>
        <v>#REF!</v>
      </c>
    </row>
    <row r="154" spans="1:11" x14ac:dyDescent="0.25">
      <c r="A154" s="2" t="s">
        <v>415</v>
      </c>
      <c r="B154" s="2">
        <v>691</v>
      </c>
      <c r="C154" s="2" t="s">
        <v>430</v>
      </c>
      <c r="D154" s="2" t="s">
        <v>431</v>
      </c>
      <c r="E154" s="2" t="s">
        <v>432</v>
      </c>
      <c r="F154" s="2" t="s">
        <v>15</v>
      </c>
      <c r="G154" s="2"/>
      <c r="H154" s="2">
        <f>_xlfn.XMATCH(CAL[[#This Row],[Allocated Tech]],CAL[[#This Row],[Fleet check Driver logged in]],0)</f>
        <v>1</v>
      </c>
      <c r="I154" s="2"/>
      <c r="J154" s="2"/>
      <c r="K154" s="2" t="e">
        <f>_xlfn.XLOOKUP(CAL[[#This Row],[Registration]],[1]Subscriptions!$A:$A,[1]Subscriptions!#REF!)</f>
        <v>#REF!</v>
      </c>
    </row>
    <row r="155" spans="1:11" x14ac:dyDescent="0.25">
      <c r="A155" s="2" t="s">
        <v>415</v>
      </c>
      <c r="B155" s="2">
        <v>304</v>
      </c>
      <c r="C155" s="2" t="s">
        <v>433</v>
      </c>
      <c r="D155" s="2" t="s">
        <v>434</v>
      </c>
      <c r="E155" s="2" t="s">
        <v>435</v>
      </c>
      <c r="F155" s="2" t="s">
        <v>15</v>
      </c>
      <c r="G155" s="2"/>
      <c r="H155" s="2">
        <f>_xlfn.XMATCH(CAL[[#This Row],[Allocated Tech]],CAL[[#This Row],[Fleet check Driver logged in]],0)</f>
        <v>1</v>
      </c>
      <c r="I155" s="2"/>
      <c r="J155" s="2"/>
      <c r="K155" s="2" t="e">
        <f>_xlfn.XLOOKUP(CAL[[#This Row],[Registration]],[1]Subscriptions!$A:$A,[1]Subscriptions!#REF!)</f>
        <v>#REF!</v>
      </c>
    </row>
    <row r="156" spans="1:11" x14ac:dyDescent="0.25">
      <c r="A156" s="2" t="s">
        <v>415</v>
      </c>
      <c r="B156" s="2">
        <v>346</v>
      </c>
      <c r="C156" s="2" t="s">
        <v>436</v>
      </c>
      <c r="D156" s="2" t="s">
        <v>437</v>
      </c>
      <c r="E156" s="2"/>
      <c r="F156" s="2" t="s">
        <v>15</v>
      </c>
      <c r="G156" s="2"/>
      <c r="H156" s="2" t="e">
        <f>_xlfn.XMATCH(CAL[[#This Row],[Allocated Tech]],CAL[[#This Row],[Fleet check Driver logged in]],0)</f>
        <v>#N/A</v>
      </c>
      <c r="I156" s="2"/>
      <c r="J156" s="2"/>
      <c r="K156" s="2" t="e">
        <f>_xlfn.XLOOKUP(CAL[[#This Row],[Registration]],[1]Subscriptions!$A:$A,[1]Subscriptions!#REF!)</f>
        <v>#REF!</v>
      </c>
    </row>
    <row r="157" spans="1:11" x14ac:dyDescent="0.25">
      <c r="A157" s="2" t="s">
        <v>415</v>
      </c>
      <c r="B157" s="2">
        <v>297</v>
      </c>
      <c r="C157" s="2" t="s">
        <v>438</v>
      </c>
      <c r="D157" s="2" t="s">
        <v>439</v>
      </c>
      <c r="E157" s="2" t="s">
        <v>440</v>
      </c>
      <c r="F157" s="2" t="s">
        <v>15</v>
      </c>
      <c r="G157" s="2"/>
      <c r="H157" s="2">
        <f>_xlfn.XMATCH(CAL[[#This Row],[Allocated Tech]],CAL[[#This Row],[Fleet check Driver logged in]],0)</f>
        <v>1</v>
      </c>
      <c r="I157" s="2"/>
      <c r="J157" s="2"/>
      <c r="K157" s="2" t="e">
        <f>_xlfn.XLOOKUP(CAL[[#This Row],[Registration]],[1]Subscriptions!$A:$A,[1]Subscriptions!#REF!)</f>
        <v>#REF!</v>
      </c>
    </row>
    <row r="158" spans="1:11" x14ac:dyDescent="0.25">
      <c r="A158" s="2" t="s">
        <v>415</v>
      </c>
      <c r="B158" s="2">
        <v>131</v>
      </c>
      <c r="C158" s="2" t="s">
        <v>441</v>
      </c>
      <c r="D158" s="2" t="s">
        <v>442</v>
      </c>
      <c r="E158" s="2" t="s">
        <v>443</v>
      </c>
      <c r="F158" s="2" t="s">
        <v>15</v>
      </c>
      <c r="G158" s="2"/>
      <c r="H158" s="2">
        <f>_xlfn.XMATCH(CAL[[#This Row],[Allocated Tech]],CAL[[#This Row],[Fleet check Driver logged in]],0)</f>
        <v>1</v>
      </c>
      <c r="I158" s="2"/>
      <c r="J158" s="2"/>
      <c r="K158" s="2" t="e">
        <f>_xlfn.XLOOKUP(CAL[[#This Row],[Registration]],[1]Subscriptions!$A:$A,[1]Subscriptions!#REF!)</f>
        <v>#REF!</v>
      </c>
    </row>
    <row r="159" spans="1:11" x14ac:dyDescent="0.25">
      <c r="A159" s="2" t="s">
        <v>415</v>
      </c>
      <c r="B159" s="2">
        <v>134</v>
      </c>
      <c r="C159" s="2" t="s">
        <v>444</v>
      </c>
      <c r="D159" s="2" t="s">
        <v>445</v>
      </c>
      <c r="E159" s="2"/>
      <c r="F159" s="2" t="s">
        <v>5</v>
      </c>
      <c r="G159" s="2"/>
      <c r="H159" s="2" t="e">
        <f>_xlfn.XMATCH(CAL[[#This Row],[Allocated Tech]],CAL[[#This Row],[Fleet check Driver logged in]],0)</f>
        <v>#N/A</v>
      </c>
      <c r="I159" s="2"/>
      <c r="J159" s="2"/>
      <c r="K159" s="2" t="e">
        <f>_xlfn.XLOOKUP(CAL[[#This Row],[Registration]],[1]Subscriptions!$A:$A,[1]Subscriptions!#REF!)</f>
        <v>#REF!</v>
      </c>
    </row>
    <row r="160" spans="1:11" x14ac:dyDescent="0.25">
      <c r="A160" s="2" t="s">
        <v>415</v>
      </c>
      <c r="B160" s="2">
        <v>128</v>
      </c>
      <c r="C160" s="2" t="s">
        <v>446</v>
      </c>
      <c r="D160" s="2" t="s">
        <v>447</v>
      </c>
      <c r="E160" s="2" t="s">
        <v>448</v>
      </c>
      <c r="F160" s="2" t="s">
        <v>15</v>
      </c>
      <c r="G160" s="2"/>
      <c r="H160" s="2">
        <f>_xlfn.XMATCH(CAL[[#This Row],[Allocated Tech]],CAL[[#This Row],[Fleet check Driver logged in]],0)</f>
        <v>1</v>
      </c>
      <c r="I160" s="2"/>
      <c r="J160" s="2"/>
      <c r="K160" s="2" t="e">
        <f>_xlfn.XLOOKUP(CAL[[#This Row],[Registration]],[1]Subscriptions!$A:$A,[1]Subscriptions!#REF!)</f>
        <v>#REF!</v>
      </c>
    </row>
    <row r="161" spans="1:11" x14ac:dyDescent="0.25">
      <c r="A161" s="2" t="s">
        <v>415</v>
      </c>
      <c r="B161" s="2">
        <v>216</v>
      </c>
      <c r="C161" s="2" t="s">
        <v>449</v>
      </c>
      <c r="D161" s="2" t="s">
        <v>450</v>
      </c>
      <c r="E161" s="2" t="s">
        <v>451</v>
      </c>
      <c r="F161" s="2" t="s">
        <v>15</v>
      </c>
      <c r="G161" s="2"/>
      <c r="H161" s="2" t="e">
        <f>_xlfn.XMATCH(CAL[[#This Row],[Allocated Tech]],CAL[[#This Row],[Fleet check Driver logged in]],0)</f>
        <v>#N/A</v>
      </c>
      <c r="I161" s="2"/>
      <c r="J161" s="2"/>
      <c r="K161" s="2" t="e">
        <f>_xlfn.XLOOKUP(CAL[[#This Row],[Registration]],[1]Subscriptions!$A:$A,[1]Subscriptions!#REF!)</f>
        <v>#REF!</v>
      </c>
    </row>
    <row r="162" spans="1:11" x14ac:dyDescent="0.25">
      <c r="A162" s="2" t="s">
        <v>415</v>
      </c>
      <c r="B162" s="2">
        <v>301</v>
      </c>
      <c r="C162" s="2" t="s">
        <v>452</v>
      </c>
      <c r="D162" s="2" t="s">
        <v>453</v>
      </c>
      <c r="E162" s="2" t="s">
        <v>454</v>
      </c>
      <c r="F162" s="2" t="s">
        <v>15</v>
      </c>
      <c r="G162" s="2"/>
      <c r="H162" s="2" t="e">
        <f>_xlfn.XMATCH(CAL[[#This Row],[Allocated Tech]],CAL[[#This Row],[Fleet check Driver logged in]],0)</f>
        <v>#N/A</v>
      </c>
      <c r="I162" s="2"/>
      <c r="J162" s="2"/>
      <c r="K162" s="2" t="e">
        <f>_xlfn.XLOOKUP(CAL[[#This Row],[Registration]],[1]Subscriptions!$A:$A,[1]Subscriptions!#REF!)</f>
        <v>#REF!</v>
      </c>
    </row>
    <row r="163" spans="1:11" x14ac:dyDescent="0.25">
      <c r="A163" s="2" t="s">
        <v>415</v>
      </c>
      <c r="B163" s="2">
        <v>539</v>
      </c>
      <c r="C163" s="2" t="s">
        <v>455</v>
      </c>
      <c r="D163" s="2" t="s">
        <v>456</v>
      </c>
      <c r="E163" s="2" t="s">
        <v>457</v>
      </c>
      <c r="F163" s="2" t="s">
        <v>15</v>
      </c>
      <c r="G163" s="2"/>
      <c r="H163" s="2">
        <f>_xlfn.XMATCH(CAL[[#This Row],[Allocated Tech]],CAL[[#This Row],[Fleet check Driver logged in]],0)</f>
        <v>1</v>
      </c>
      <c r="I163" s="2"/>
      <c r="J163" s="2"/>
      <c r="K163" s="2" t="e">
        <f>_xlfn.XLOOKUP(CAL[[#This Row],[Registration]],[1]Subscriptions!$A:$A,[1]Subscriptions!#REF!)</f>
        <v>#REF!</v>
      </c>
    </row>
    <row r="164" spans="1:11" x14ac:dyDescent="0.25">
      <c r="A164" s="2" t="s">
        <v>415</v>
      </c>
      <c r="B164" s="2">
        <v>320</v>
      </c>
      <c r="C164" s="2" t="s">
        <v>458</v>
      </c>
      <c r="D164" s="2" t="s">
        <v>459</v>
      </c>
      <c r="E164" s="2" t="s">
        <v>460</v>
      </c>
      <c r="F164" s="2" t="s">
        <v>15</v>
      </c>
      <c r="G164" s="2"/>
      <c r="H164" s="2" t="e">
        <f>_xlfn.XMATCH(CAL[[#This Row],[Allocated Tech]],CAL[[#This Row],[Fleet check Driver logged in]],0)</f>
        <v>#N/A</v>
      </c>
      <c r="I164" s="2"/>
      <c r="J164" s="2"/>
      <c r="K164" s="2" t="e">
        <f>_xlfn.XLOOKUP(CAL[[#This Row],[Registration]],[1]Subscriptions!$A:$A,[1]Subscriptions!#REF!)</f>
        <v>#REF!</v>
      </c>
    </row>
    <row r="165" spans="1:11" x14ac:dyDescent="0.25">
      <c r="A165" s="2" t="s">
        <v>415</v>
      </c>
      <c r="B165" s="2">
        <v>333</v>
      </c>
      <c r="C165" s="2" t="s">
        <v>461</v>
      </c>
      <c r="D165" s="2" t="s">
        <v>462</v>
      </c>
      <c r="E165" s="2"/>
      <c r="F165" s="2" t="s">
        <v>5</v>
      </c>
      <c r="G165" s="2"/>
      <c r="H165" s="2" t="e">
        <f>_xlfn.XMATCH(CAL[[#This Row],[Allocated Tech]],CAL[[#This Row],[Fleet check Driver logged in]],0)</f>
        <v>#N/A</v>
      </c>
      <c r="I165" s="2"/>
      <c r="J165" s="2"/>
      <c r="K165" s="2" t="e">
        <f>_xlfn.XLOOKUP(CAL[[#This Row],[Registration]],[1]Subscriptions!$A:$A,[1]Subscriptions!#REF!)</f>
        <v>#REF!</v>
      </c>
    </row>
    <row r="166" spans="1:11" x14ac:dyDescent="0.25">
      <c r="A166" s="2" t="s">
        <v>415</v>
      </c>
      <c r="B166" s="2">
        <v>832</v>
      </c>
      <c r="C166" s="2" t="s">
        <v>463</v>
      </c>
      <c r="D166" s="2" t="s">
        <v>464</v>
      </c>
      <c r="E166" s="2"/>
      <c r="F166" s="2" t="s">
        <v>5</v>
      </c>
      <c r="G166" s="2"/>
      <c r="H166" s="2" t="e">
        <f>_xlfn.XMATCH(CAL[[#This Row],[Allocated Tech]],CAL[[#This Row],[Fleet check Driver logged in]],0)</f>
        <v>#N/A</v>
      </c>
      <c r="I166" s="2"/>
      <c r="J166" s="2"/>
      <c r="K166" s="2" t="e">
        <f>_xlfn.XLOOKUP(CAL[[#This Row],[Registration]],[1]Subscriptions!$A:$A,[1]Subscriptions!#REF!)</f>
        <v>#REF!</v>
      </c>
    </row>
    <row r="167" spans="1:11" x14ac:dyDescent="0.25">
      <c r="A167" s="2" t="s">
        <v>415</v>
      </c>
      <c r="B167" s="2">
        <v>540</v>
      </c>
      <c r="C167" s="2" t="s">
        <v>465</v>
      </c>
      <c r="D167" s="2" t="s">
        <v>466</v>
      </c>
      <c r="E167" s="2"/>
      <c r="F167" s="2" t="s">
        <v>5</v>
      </c>
      <c r="G167" s="2"/>
      <c r="H167" s="2" t="e">
        <f>_xlfn.XMATCH(CAL[[#This Row],[Allocated Tech]],CAL[[#This Row],[Fleet check Driver logged in]],0)</f>
        <v>#N/A</v>
      </c>
      <c r="I167" s="2"/>
      <c r="J167" s="2"/>
      <c r="K167" s="2" t="e">
        <f>_xlfn.XLOOKUP(CAL[[#This Row],[Registration]],[1]Subscriptions!$A:$A,[1]Subscriptions!#REF!)</f>
        <v>#REF!</v>
      </c>
    </row>
    <row r="168" spans="1:11" x14ac:dyDescent="0.25">
      <c r="A168" s="2" t="s">
        <v>415</v>
      </c>
      <c r="B168" s="2">
        <v>129</v>
      </c>
      <c r="C168" s="2" t="s">
        <v>467</v>
      </c>
      <c r="D168" s="2" t="s">
        <v>468</v>
      </c>
      <c r="E168" s="2" t="s">
        <v>469</v>
      </c>
      <c r="F168" s="2" t="s">
        <v>15</v>
      </c>
      <c r="G168" s="2"/>
      <c r="H168" s="2" t="e">
        <f>_xlfn.XMATCH(CAL[[#This Row],[Allocated Tech]],CAL[[#This Row],[Fleet check Driver logged in]],0)</f>
        <v>#N/A</v>
      </c>
      <c r="I168" s="2"/>
      <c r="J168" s="2"/>
      <c r="K168" s="2" t="e">
        <f>_xlfn.XLOOKUP(CAL[[#This Row],[Registration]],[1]Subscriptions!$A:$A,[1]Subscriptions!#REF!)</f>
        <v>#REF!</v>
      </c>
    </row>
    <row r="169" spans="1:11" x14ac:dyDescent="0.25">
      <c r="A169" s="2" t="s">
        <v>415</v>
      </c>
      <c r="B169" s="2">
        <v>420</v>
      </c>
      <c r="C169" s="2" t="s">
        <v>470</v>
      </c>
      <c r="D169" s="2" t="s">
        <v>471</v>
      </c>
      <c r="E169" s="2" t="s">
        <v>472</v>
      </c>
      <c r="F169" s="2" t="s">
        <v>15</v>
      </c>
      <c r="G169" s="2"/>
      <c r="H169" s="2">
        <f>_xlfn.XMATCH(CAL[[#This Row],[Allocated Tech]],CAL[[#This Row],[Fleet check Driver logged in]],0)</f>
        <v>1</v>
      </c>
      <c r="I169" s="2"/>
      <c r="J169" s="2"/>
      <c r="K169" s="2" t="e">
        <f>_xlfn.XLOOKUP(CAL[[#This Row],[Registration]],[1]Subscriptions!$A:$A,[1]Subscriptions!#REF!)</f>
        <v>#REF!</v>
      </c>
    </row>
    <row r="170" spans="1:11" x14ac:dyDescent="0.25">
      <c r="A170" s="2" t="s">
        <v>415</v>
      </c>
      <c r="B170" s="2">
        <v>544</v>
      </c>
      <c r="C170" s="2" t="s">
        <v>473</v>
      </c>
      <c r="D170" s="2" t="s">
        <v>474</v>
      </c>
      <c r="E170" s="2" t="s">
        <v>475</v>
      </c>
      <c r="F170" s="2" t="s">
        <v>5</v>
      </c>
      <c r="G170" s="2"/>
      <c r="H170" s="2">
        <f>_xlfn.XMATCH(CAL[[#This Row],[Allocated Tech]],CAL[[#This Row],[Fleet check Driver logged in]],0)</f>
        <v>1</v>
      </c>
      <c r="I170" s="2"/>
      <c r="J170" s="2"/>
      <c r="K170" s="2" t="e">
        <f>_xlfn.XLOOKUP(CAL[[#This Row],[Registration]],[1]Subscriptions!$A:$A,[1]Subscriptions!#REF!)</f>
        <v>#REF!</v>
      </c>
    </row>
    <row r="171" spans="1:11" x14ac:dyDescent="0.25">
      <c r="A171" s="2" t="s">
        <v>415</v>
      </c>
      <c r="B171" s="2">
        <v>319</v>
      </c>
      <c r="C171" s="2" t="s">
        <v>476</v>
      </c>
      <c r="D171" s="2" t="s">
        <v>477</v>
      </c>
      <c r="E171" s="2" t="s">
        <v>478</v>
      </c>
      <c r="F171" s="2" t="s">
        <v>15</v>
      </c>
      <c r="G171" s="2"/>
      <c r="H171" s="2">
        <f>_xlfn.XMATCH(CAL[[#This Row],[Allocated Tech]],CAL[[#This Row],[Fleet check Driver logged in]],0)</f>
        <v>1</v>
      </c>
      <c r="I171" s="2"/>
      <c r="J171" s="2"/>
      <c r="K171" s="2" t="e">
        <f>_xlfn.XLOOKUP(CAL[[#This Row],[Registration]],[1]Subscriptions!$A:$A,[1]Subscriptions!#REF!)</f>
        <v>#REF!</v>
      </c>
    </row>
    <row r="172" spans="1:11" x14ac:dyDescent="0.25">
      <c r="A172" s="2" t="s">
        <v>415</v>
      </c>
      <c r="B172" s="2">
        <v>292</v>
      </c>
      <c r="C172" s="2" t="s">
        <v>479</v>
      </c>
      <c r="D172" s="2" t="s">
        <v>480</v>
      </c>
      <c r="E172" s="2" t="s">
        <v>481</v>
      </c>
      <c r="F172" s="2" t="s">
        <v>15</v>
      </c>
      <c r="G172" s="2"/>
      <c r="H172" s="2">
        <f>_xlfn.XMATCH(CAL[[#This Row],[Allocated Tech]],CAL[[#This Row],[Fleet check Driver logged in]],0)</f>
        <v>1</v>
      </c>
      <c r="I172" s="2"/>
      <c r="J172" s="2"/>
      <c r="K172" s="2" t="e">
        <f>_xlfn.XLOOKUP(CAL[[#This Row],[Registration]],[1]Subscriptions!$A:$A,[1]Subscriptions!#REF!)</f>
        <v>#REF!</v>
      </c>
    </row>
    <row r="173" spans="1:11" x14ac:dyDescent="0.25">
      <c r="A173" s="2" t="s">
        <v>415</v>
      </c>
      <c r="B173" s="2">
        <v>815</v>
      </c>
      <c r="C173" s="2" t="s">
        <v>482</v>
      </c>
      <c r="D173" s="2" t="s">
        <v>483</v>
      </c>
      <c r="E173" s="2" t="s">
        <v>484</v>
      </c>
      <c r="F173" s="2" t="s">
        <v>15</v>
      </c>
      <c r="G173" s="2"/>
      <c r="H173" s="2" t="e">
        <f>_xlfn.XMATCH(CAL[[#This Row],[Allocated Tech]],CAL[[#This Row],[Fleet check Driver logged in]],0)</f>
        <v>#N/A</v>
      </c>
      <c r="I173" s="2"/>
      <c r="J173" s="2"/>
      <c r="K173" s="2" t="e">
        <f>_xlfn.XLOOKUP(CAL[[#This Row],[Registration]],[1]Subscriptions!$A:$A,[1]Subscriptions!#REF!)</f>
        <v>#REF!</v>
      </c>
    </row>
    <row r="174" spans="1:11" x14ac:dyDescent="0.25">
      <c r="A174" s="2" t="s">
        <v>415</v>
      </c>
      <c r="B174" s="2">
        <v>526</v>
      </c>
      <c r="C174" s="2" t="s">
        <v>485</v>
      </c>
      <c r="D174" s="2" t="s">
        <v>486</v>
      </c>
      <c r="E174" s="2" t="s">
        <v>487</v>
      </c>
      <c r="F174" s="2" t="s">
        <v>15</v>
      </c>
      <c r="G174" s="2"/>
      <c r="H174" s="2" t="e">
        <f>_xlfn.XMATCH(CAL[[#This Row],[Allocated Tech]],CAL[[#This Row],[Fleet check Driver logged in]],0)</f>
        <v>#N/A</v>
      </c>
      <c r="I174" s="2"/>
      <c r="J174" s="2"/>
      <c r="K174" s="2" t="e">
        <f>_xlfn.XLOOKUP(CAL[[#This Row],[Registration]],[1]Subscriptions!$A:$A,[1]Subscriptions!#REF!)</f>
        <v>#REF!</v>
      </c>
    </row>
    <row r="175" spans="1:11" x14ac:dyDescent="0.25">
      <c r="A175" s="2" t="s">
        <v>415</v>
      </c>
      <c r="B175" s="2">
        <v>699</v>
      </c>
      <c r="C175" s="2" t="s">
        <v>488</v>
      </c>
      <c r="D175" s="2" t="s">
        <v>489</v>
      </c>
      <c r="E175" s="2" t="s">
        <v>490</v>
      </c>
      <c r="F175" s="2" t="s">
        <v>15</v>
      </c>
      <c r="G175" s="2"/>
      <c r="H175" s="2" t="e">
        <f>_xlfn.XMATCH(CAL[[#This Row],[Allocated Tech]],CAL[[#This Row],[Fleet check Driver logged in]],0)</f>
        <v>#N/A</v>
      </c>
      <c r="I175" s="2"/>
      <c r="J175" s="2"/>
      <c r="K175" s="2" t="e">
        <f>_xlfn.XLOOKUP(CAL[[#This Row],[Registration]],[1]Subscriptions!$A:$A,[1]Subscriptions!#REF!)</f>
        <v>#REF!</v>
      </c>
    </row>
    <row r="176" spans="1:11" x14ac:dyDescent="0.25">
      <c r="A176" s="2" t="s">
        <v>415</v>
      </c>
      <c r="B176" s="2">
        <v>553</v>
      </c>
      <c r="C176" s="2" t="s">
        <v>491</v>
      </c>
      <c r="D176" s="2" t="s">
        <v>492</v>
      </c>
      <c r="E176" s="2" t="s">
        <v>493</v>
      </c>
      <c r="F176" s="2" t="s">
        <v>15</v>
      </c>
      <c r="G176" s="2"/>
      <c r="H176" s="2" t="e">
        <f>_xlfn.XMATCH(CAL[[#This Row],[Allocated Tech]],CAL[[#This Row],[Fleet check Driver logged in]],0)</f>
        <v>#N/A</v>
      </c>
      <c r="I176" s="2"/>
      <c r="J176" s="2"/>
      <c r="K176" s="2" t="e">
        <f>_xlfn.XLOOKUP(CAL[[#This Row],[Registration]],[1]Subscriptions!$A:$A,[1]Subscriptions!#REF!)</f>
        <v>#REF!</v>
      </c>
    </row>
    <row r="177" spans="1:11" x14ac:dyDescent="0.25">
      <c r="A177" s="2" t="s">
        <v>415</v>
      </c>
      <c r="B177" s="2">
        <v>552</v>
      </c>
      <c r="C177" s="2" t="s">
        <v>494</v>
      </c>
      <c r="D177" s="2" t="s">
        <v>495</v>
      </c>
      <c r="E177" s="2" t="s">
        <v>496</v>
      </c>
      <c r="F177" s="2" t="s">
        <v>15</v>
      </c>
      <c r="G177" s="2"/>
      <c r="H177" s="2">
        <f>_xlfn.XMATCH(CAL[[#This Row],[Allocated Tech]],CAL[[#This Row],[Fleet check Driver logged in]],0)</f>
        <v>1</v>
      </c>
      <c r="I177" s="2"/>
      <c r="J177" s="2"/>
      <c r="K177" s="2" t="e">
        <f>_xlfn.XLOOKUP(CAL[[#This Row],[Registration]],[1]Subscriptions!$A:$A,[1]Subscriptions!#REF!)</f>
        <v>#REF!</v>
      </c>
    </row>
    <row r="178" spans="1:11" x14ac:dyDescent="0.25">
      <c r="A178" s="2" t="s">
        <v>415</v>
      </c>
      <c r="B178" s="2">
        <v>923</v>
      </c>
      <c r="C178" s="2" t="s">
        <v>497</v>
      </c>
      <c r="D178" s="2" t="s">
        <v>498</v>
      </c>
      <c r="E178" s="2" t="s">
        <v>499</v>
      </c>
      <c r="F178" s="2" t="s">
        <v>15</v>
      </c>
      <c r="G178" s="2"/>
      <c r="H178" s="2" t="e">
        <f>_xlfn.XMATCH(CAL[[#This Row],[Allocated Tech]],CAL[[#This Row],[Fleet check Driver logged in]],0)</f>
        <v>#N/A</v>
      </c>
      <c r="I178" s="2"/>
      <c r="J178" s="2"/>
      <c r="K178" s="2" t="e">
        <f>_xlfn.XLOOKUP(CAL[[#This Row],[Registration]],[1]Subscriptions!$A:$A,[1]Subscriptions!#REF!)</f>
        <v>#REF!</v>
      </c>
    </row>
    <row r="179" spans="1:11" x14ac:dyDescent="0.25">
      <c r="A179" s="2" t="s">
        <v>415</v>
      </c>
      <c r="B179" s="2">
        <v>352</v>
      </c>
      <c r="C179" s="2" t="s">
        <v>500</v>
      </c>
      <c r="D179" s="2" t="s">
        <v>501</v>
      </c>
      <c r="E179" s="2" t="s">
        <v>502</v>
      </c>
      <c r="F179" s="2" t="s">
        <v>15</v>
      </c>
      <c r="G179" s="2"/>
      <c r="H179" s="2">
        <f>_xlfn.XMATCH(CAL[[#This Row],[Allocated Tech]],CAL[[#This Row],[Fleet check Driver logged in]],0)</f>
        <v>1</v>
      </c>
      <c r="I179" s="2"/>
      <c r="J179" s="2"/>
      <c r="K179" s="2" t="e">
        <f>_xlfn.XLOOKUP(CAL[[#This Row],[Registration]],[1]Subscriptions!$A:$A,[1]Subscriptions!#REF!)</f>
        <v>#REF!</v>
      </c>
    </row>
    <row r="180" spans="1:11" x14ac:dyDescent="0.25">
      <c r="A180" s="2" t="s">
        <v>415</v>
      </c>
      <c r="B180" s="2">
        <v>711</v>
      </c>
      <c r="C180" s="2" t="s">
        <v>503</v>
      </c>
      <c r="D180" s="2" t="s">
        <v>504</v>
      </c>
      <c r="E180" s="2" t="s">
        <v>505</v>
      </c>
      <c r="F180" s="2" t="s">
        <v>15</v>
      </c>
      <c r="G180" s="2"/>
      <c r="H180" s="2">
        <f>_xlfn.XMATCH(CAL[[#This Row],[Allocated Tech]],CAL[[#This Row],[Fleet check Driver logged in]],0)</f>
        <v>1</v>
      </c>
      <c r="I180" s="2"/>
      <c r="J180" s="2"/>
      <c r="K180" s="2" t="e">
        <f>_xlfn.XLOOKUP(CAL[[#This Row],[Registration]],[1]Subscriptions!$A:$A,[1]Subscriptions!#REF!)</f>
        <v>#REF!</v>
      </c>
    </row>
    <row r="181" spans="1:11" x14ac:dyDescent="0.25">
      <c r="A181" s="2" t="s">
        <v>415</v>
      </c>
      <c r="B181" s="2">
        <v>729</v>
      </c>
      <c r="C181" s="2" t="s">
        <v>506</v>
      </c>
      <c r="D181" s="2" t="s">
        <v>507</v>
      </c>
      <c r="E181" s="2" t="s">
        <v>508</v>
      </c>
      <c r="F181" s="2" t="s">
        <v>15</v>
      </c>
      <c r="G181" s="2"/>
      <c r="H181" s="2" t="e">
        <f>_xlfn.XMATCH(CAL[[#This Row],[Allocated Tech]],CAL[[#This Row],[Fleet check Driver logged in]],0)</f>
        <v>#N/A</v>
      </c>
      <c r="I181" s="2"/>
      <c r="J181" s="2"/>
      <c r="K181" s="2" t="e">
        <f>_xlfn.XLOOKUP(CAL[[#This Row],[Registration]],[1]Subscriptions!$A:$A,[1]Subscriptions!#REF!)</f>
        <v>#REF!</v>
      </c>
    </row>
    <row r="182" spans="1:11" x14ac:dyDescent="0.25">
      <c r="A182" s="2" t="s">
        <v>415</v>
      </c>
      <c r="B182" s="2">
        <v>344</v>
      </c>
      <c r="C182" s="2" t="s">
        <v>509</v>
      </c>
      <c r="D182" s="2" t="s">
        <v>510</v>
      </c>
      <c r="E182" s="2" t="s">
        <v>511</v>
      </c>
      <c r="F182" s="2" t="s">
        <v>15</v>
      </c>
      <c r="G182" s="2"/>
      <c r="H182" s="2" t="e">
        <f>_xlfn.XMATCH(CAL[[#This Row],[Allocated Tech]],CAL[[#This Row],[Fleet check Driver logged in]],0)</f>
        <v>#N/A</v>
      </c>
      <c r="I182" s="2"/>
      <c r="J182" s="2"/>
      <c r="K182" s="2" t="e">
        <f>_xlfn.XLOOKUP(CAL[[#This Row],[Registration]],[1]Subscriptions!$A:$A,[1]Subscriptions!#REF!)</f>
        <v>#REF!</v>
      </c>
    </row>
    <row r="183" spans="1:11" x14ac:dyDescent="0.25">
      <c r="A183" s="2" t="s">
        <v>415</v>
      </c>
      <c r="B183" s="2">
        <v>294</v>
      </c>
      <c r="C183" s="2" t="s">
        <v>512</v>
      </c>
      <c r="D183" s="2" t="s">
        <v>513</v>
      </c>
      <c r="E183" s="2"/>
      <c r="F183" s="2" t="s">
        <v>5</v>
      </c>
      <c r="G183" s="2"/>
      <c r="H183" s="2" t="e">
        <f>_xlfn.XMATCH(CAL[[#This Row],[Allocated Tech]],CAL[[#This Row],[Fleet check Driver logged in]],0)</f>
        <v>#N/A</v>
      </c>
      <c r="I183" s="2"/>
      <c r="J183" s="2"/>
      <c r="K183" s="2" t="e">
        <f>_xlfn.XLOOKUP(CAL[[#This Row],[Registration]],[1]Subscriptions!$A:$A,[1]Subscriptions!#REF!)</f>
        <v>#REF!</v>
      </c>
    </row>
    <row r="184" spans="1:11" x14ac:dyDescent="0.25">
      <c r="A184" s="2" t="s">
        <v>415</v>
      </c>
      <c r="B184" s="2">
        <v>610</v>
      </c>
      <c r="C184" s="2" t="s">
        <v>514</v>
      </c>
      <c r="D184" s="2" t="s">
        <v>515</v>
      </c>
      <c r="E184" s="2" t="s">
        <v>516</v>
      </c>
      <c r="F184" s="2" t="s">
        <v>15</v>
      </c>
      <c r="G184" s="2"/>
      <c r="H184" s="2">
        <f>_xlfn.XMATCH(CAL[[#This Row],[Allocated Tech]],CAL[[#This Row],[Fleet check Driver logged in]],0)</f>
        <v>1</v>
      </c>
      <c r="I184" s="2"/>
      <c r="J184" s="2"/>
      <c r="K184" s="2" t="e">
        <f>_xlfn.XLOOKUP(CAL[[#This Row],[Registration]],[1]Subscriptions!$A:$A,[1]Subscriptions!#REF!)</f>
        <v>#REF!</v>
      </c>
    </row>
    <row r="185" spans="1:11" x14ac:dyDescent="0.25">
      <c r="A185" s="2" t="s">
        <v>415</v>
      </c>
      <c r="B185" s="2">
        <v>125</v>
      </c>
      <c r="C185" s="2" t="s">
        <v>517</v>
      </c>
      <c r="D185" s="2" t="s">
        <v>518</v>
      </c>
      <c r="E185" s="2" t="s">
        <v>519</v>
      </c>
      <c r="F185" s="2" t="s">
        <v>15</v>
      </c>
      <c r="G185" s="2"/>
      <c r="H185" s="2">
        <f>_xlfn.XMATCH(CAL[[#This Row],[Allocated Tech]],CAL[[#This Row],[Fleet check Driver logged in]],0)</f>
        <v>1</v>
      </c>
      <c r="I185" s="2"/>
      <c r="J185" s="2"/>
      <c r="K185" s="2" t="e">
        <f>_xlfn.XLOOKUP(CAL[[#This Row],[Registration]],[1]Subscriptions!$A:$A,[1]Subscriptions!#REF!)</f>
        <v>#REF!</v>
      </c>
    </row>
    <row r="186" spans="1:11" x14ac:dyDescent="0.25">
      <c r="A186" s="2" t="s">
        <v>415</v>
      </c>
      <c r="B186" s="2">
        <v>124</v>
      </c>
      <c r="C186" s="2" t="s">
        <v>520</v>
      </c>
      <c r="D186" s="2" t="s">
        <v>521</v>
      </c>
      <c r="E186" s="2" t="s">
        <v>522</v>
      </c>
      <c r="F186" s="2" t="s">
        <v>15</v>
      </c>
      <c r="G186" s="2"/>
      <c r="H186" s="2">
        <f>_xlfn.XMATCH(CAL[[#This Row],[Allocated Tech]],CAL[[#This Row],[Fleet check Driver logged in]],0)</f>
        <v>1</v>
      </c>
      <c r="I186" s="2"/>
      <c r="J186" s="2"/>
      <c r="K186" s="2" t="e">
        <f>_xlfn.XLOOKUP(CAL[[#This Row],[Registration]],[1]Subscriptions!$A:$A,[1]Subscriptions!#REF!)</f>
        <v>#REF!</v>
      </c>
    </row>
    <row r="187" spans="1:11" x14ac:dyDescent="0.25">
      <c r="A187" s="2" t="s">
        <v>415</v>
      </c>
      <c r="B187" s="2">
        <v>110</v>
      </c>
      <c r="C187" s="2" t="s">
        <v>523</v>
      </c>
      <c r="D187" s="2" t="s">
        <v>524</v>
      </c>
      <c r="E187" s="2" t="s">
        <v>525</v>
      </c>
      <c r="F187" s="2" t="s">
        <v>15</v>
      </c>
      <c r="G187" s="2"/>
      <c r="H187" s="2">
        <f>_xlfn.XMATCH(CAL[[#This Row],[Allocated Tech]],CAL[[#This Row],[Fleet check Driver logged in]],0)</f>
        <v>1</v>
      </c>
      <c r="I187" s="2"/>
      <c r="J187" s="2"/>
      <c r="K187" s="2" t="e">
        <f>_xlfn.XLOOKUP(CAL[[#This Row],[Registration]],[1]Subscriptions!$A:$A,[1]Subscriptions!#REF!)</f>
        <v>#REF!</v>
      </c>
    </row>
    <row r="188" spans="1:11" x14ac:dyDescent="0.25">
      <c r="A188" s="2" t="s">
        <v>415</v>
      </c>
      <c r="B188" s="2">
        <v>126</v>
      </c>
      <c r="C188" s="2" t="s">
        <v>526</v>
      </c>
      <c r="D188" s="2" t="s">
        <v>527</v>
      </c>
      <c r="E188" s="2" t="s">
        <v>528</v>
      </c>
      <c r="F188" s="2" t="s">
        <v>15</v>
      </c>
      <c r="G188" s="2"/>
      <c r="H188" s="2">
        <f>_xlfn.XMATCH(CAL[[#This Row],[Allocated Tech]],CAL[[#This Row],[Fleet check Driver logged in]],0)</f>
        <v>1</v>
      </c>
      <c r="I188" s="2"/>
      <c r="J188" s="2"/>
      <c r="K188" s="2" t="e">
        <f>_xlfn.XLOOKUP(CAL[[#This Row],[Registration]],[1]Subscriptions!$A:$A,[1]Subscriptions!#REF!)</f>
        <v>#REF!</v>
      </c>
    </row>
    <row r="189" spans="1:11" x14ac:dyDescent="0.25">
      <c r="A189" s="2" t="s">
        <v>415</v>
      </c>
      <c r="B189" s="2">
        <v>106</v>
      </c>
      <c r="C189" s="2" t="s">
        <v>529</v>
      </c>
      <c r="D189" s="2" t="s">
        <v>530</v>
      </c>
      <c r="E189" s="2"/>
      <c r="F189" s="2" t="s">
        <v>15</v>
      </c>
      <c r="G189" s="2"/>
      <c r="H189" s="2" t="e">
        <f>_xlfn.XMATCH(CAL[[#This Row],[Allocated Tech]],CAL[[#This Row],[Fleet check Driver logged in]],0)</f>
        <v>#N/A</v>
      </c>
      <c r="I189" s="2"/>
      <c r="J189" s="2"/>
      <c r="K189" s="2" t="e">
        <f>_xlfn.XLOOKUP(CAL[[#This Row],[Registration]],[1]Subscriptions!$A:$A,[1]Subscriptions!#REF!)</f>
        <v>#REF!</v>
      </c>
    </row>
    <row r="190" spans="1:11" x14ac:dyDescent="0.25">
      <c r="A190" s="2" t="s">
        <v>415</v>
      </c>
      <c r="B190" s="2">
        <v>224</v>
      </c>
      <c r="C190" s="2" t="s">
        <v>531</v>
      </c>
      <c r="D190" s="2" t="s">
        <v>532</v>
      </c>
      <c r="E190" s="2" t="s">
        <v>533</v>
      </c>
      <c r="F190" s="2" t="s">
        <v>15</v>
      </c>
      <c r="G190" s="2"/>
      <c r="H190" s="2">
        <f>_xlfn.XMATCH(CAL[[#This Row],[Allocated Tech]],CAL[[#This Row],[Fleet check Driver logged in]],0)</f>
        <v>1</v>
      </c>
      <c r="I190" s="2"/>
      <c r="J190" s="2"/>
      <c r="K190" s="2" t="e">
        <f>_xlfn.XLOOKUP(CAL[[#This Row],[Registration]],[1]Subscriptions!$A:$A,[1]Subscriptions!#REF!)</f>
        <v>#REF!</v>
      </c>
    </row>
    <row r="191" spans="1:11" x14ac:dyDescent="0.25">
      <c r="A191" s="2" t="s">
        <v>415</v>
      </c>
      <c r="B191" s="2">
        <v>579</v>
      </c>
      <c r="C191" s="2" t="s">
        <v>534</v>
      </c>
      <c r="D191" s="2" t="s">
        <v>535</v>
      </c>
      <c r="E191" s="2" t="s">
        <v>475</v>
      </c>
      <c r="F191" s="2" t="s">
        <v>5</v>
      </c>
      <c r="G191" s="2"/>
      <c r="H191" s="2" t="e">
        <f>_xlfn.XMATCH(CAL[[#This Row],[Allocated Tech]],CAL[[#This Row],[Fleet check Driver logged in]],0)</f>
        <v>#N/A</v>
      </c>
      <c r="I191" s="2"/>
      <c r="J191" s="2"/>
      <c r="K191" s="2" t="e">
        <f>_xlfn.XLOOKUP(CAL[[#This Row],[Registration]],[1]Subscriptions!$A:$A,[1]Subscriptions!#REF!)</f>
        <v>#REF!</v>
      </c>
    </row>
    <row r="192" spans="1:11" x14ac:dyDescent="0.25">
      <c r="A192" s="2" t="s">
        <v>415</v>
      </c>
      <c r="B192" s="2">
        <v>576</v>
      </c>
      <c r="C192" s="2" t="s">
        <v>536</v>
      </c>
      <c r="D192" s="2" t="s">
        <v>537</v>
      </c>
      <c r="E192" s="2" t="s">
        <v>538</v>
      </c>
      <c r="F192" s="2" t="s">
        <v>15</v>
      </c>
      <c r="G192" s="2"/>
      <c r="H192" s="2">
        <f>_xlfn.XMATCH(CAL[[#This Row],[Allocated Tech]],CAL[[#This Row],[Fleet check Driver logged in]],0)</f>
        <v>1</v>
      </c>
      <c r="I192" s="2"/>
      <c r="J192" s="2"/>
      <c r="K192" s="2" t="e">
        <f>_xlfn.XLOOKUP(CAL[[#This Row],[Registration]],[1]Subscriptions!$A:$A,[1]Subscriptions!#REF!)</f>
        <v>#REF!</v>
      </c>
    </row>
    <row r="193" spans="1:11" x14ac:dyDescent="0.25">
      <c r="A193" s="2" t="s">
        <v>415</v>
      </c>
      <c r="B193" s="2">
        <v>167</v>
      </c>
      <c r="C193" s="2" t="s">
        <v>539</v>
      </c>
      <c r="D193" s="2" t="s">
        <v>540</v>
      </c>
      <c r="E193" s="2" t="s">
        <v>541</v>
      </c>
      <c r="F193" s="2" t="s">
        <v>15</v>
      </c>
      <c r="G193" s="2"/>
      <c r="H193" s="2">
        <f>_xlfn.XMATCH(CAL[[#This Row],[Allocated Tech]],CAL[[#This Row],[Fleet check Driver logged in]],0)</f>
        <v>1</v>
      </c>
      <c r="I193" s="2"/>
      <c r="J193" s="2"/>
      <c r="K193" s="2" t="e">
        <f>_xlfn.XLOOKUP(CAL[[#This Row],[Registration]],[1]Subscriptions!$A:$A,[1]Subscriptions!#REF!)</f>
        <v>#REF!</v>
      </c>
    </row>
    <row r="194" spans="1:11" x14ac:dyDescent="0.25">
      <c r="A194" s="2" t="s">
        <v>415</v>
      </c>
      <c r="B194" s="2">
        <v>724</v>
      </c>
      <c r="C194" s="2" t="s">
        <v>542</v>
      </c>
      <c r="D194" s="2" t="s">
        <v>543</v>
      </c>
      <c r="E194" s="2" t="s">
        <v>544</v>
      </c>
      <c r="F194" s="2" t="s">
        <v>15</v>
      </c>
      <c r="G194" s="2"/>
      <c r="H194" s="2">
        <f>_xlfn.XMATCH(CAL[[#This Row],[Allocated Tech]],CAL[[#This Row],[Fleet check Driver logged in]],0)</f>
        <v>1</v>
      </c>
      <c r="I194" s="2"/>
      <c r="J194" s="2"/>
      <c r="K194" s="2" t="e">
        <f>_xlfn.XLOOKUP(CAL[[#This Row],[Registration]],[1]Subscriptions!$A:$A,[1]Subscriptions!#REF!)</f>
        <v>#REF!</v>
      </c>
    </row>
    <row r="195" spans="1:11" x14ac:dyDescent="0.25">
      <c r="A195" s="2" t="s">
        <v>415</v>
      </c>
      <c r="B195" s="2">
        <v>580</v>
      </c>
      <c r="C195" s="2" t="s">
        <v>545</v>
      </c>
      <c r="D195" s="2" t="s">
        <v>546</v>
      </c>
      <c r="E195" s="2" t="s">
        <v>547</v>
      </c>
      <c r="F195" s="2" t="s">
        <v>15</v>
      </c>
      <c r="G195" s="2"/>
      <c r="H195" s="2">
        <f>_xlfn.XMATCH(CAL[[#This Row],[Allocated Tech]],CAL[[#This Row],[Fleet check Driver logged in]],0)</f>
        <v>1</v>
      </c>
      <c r="I195" s="2"/>
      <c r="J195" s="2"/>
      <c r="K195" s="2" t="e">
        <f>_xlfn.XLOOKUP(CAL[[#This Row],[Registration]],[1]Subscriptions!$A:$A,[1]Subscriptions!#REF!)</f>
        <v>#REF!</v>
      </c>
    </row>
    <row r="196" spans="1:11" x14ac:dyDescent="0.25">
      <c r="A196" s="2" t="s">
        <v>548</v>
      </c>
      <c r="B196" s="2">
        <v>509</v>
      </c>
      <c r="C196" s="2" t="s">
        <v>549</v>
      </c>
      <c r="D196" s="2" t="s">
        <v>550</v>
      </c>
      <c r="E196" s="2" t="s">
        <v>550</v>
      </c>
      <c r="F196" s="2" t="s">
        <v>15</v>
      </c>
      <c r="G196" s="2"/>
      <c r="H196" s="2">
        <f>_xlfn.XMATCH(CAL[[#This Row],[Allocated Tech]],CAL[[#This Row],[Fleet check Driver logged in]],0)</f>
        <v>1</v>
      </c>
      <c r="I196" s="2"/>
      <c r="J196" s="2"/>
      <c r="K196" s="2" t="e">
        <f>_xlfn.XLOOKUP(CAL[[#This Row],[Registration]],[1]Subscriptions!$A:$A,[1]Subscriptions!#REF!)</f>
        <v>#REF!</v>
      </c>
    </row>
    <row r="197" spans="1:11" x14ac:dyDescent="0.25">
      <c r="A197" s="2" t="s">
        <v>548</v>
      </c>
      <c r="B197" s="2">
        <v>275</v>
      </c>
      <c r="C197" s="2" t="s">
        <v>551</v>
      </c>
      <c r="D197" s="2" t="s">
        <v>552</v>
      </c>
      <c r="E197" s="2"/>
      <c r="F197" s="2" t="s">
        <v>15</v>
      </c>
      <c r="G197" s="2"/>
      <c r="H197" s="2" t="e">
        <f>_xlfn.XMATCH(CAL[[#This Row],[Allocated Tech]],CAL[[#This Row],[Fleet check Driver logged in]],0)</f>
        <v>#N/A</v>
      </c>
      <c r="I197" s="2"/>
      <c r="J197" s="2"/>
      <c r="K197" s="2" t="e">
        <f>_xlfn.XLOOKUP(CAL[[#This Row],[Registration]],[1]Subscriptions!$A:$A,[1]Subscriptions!#REF!)</f>
        <v>#REF!</v>
      </c>
    </row>
    <row r="198" spans="1:11" x14ac:dyDescent="0.25">
      <c r="A198" s="2" t="s">
        <v>548</v>
      </c>
      <c r="B198" s="2">
        <v>282</v>
      </c>
      <c r="C198" s="2" t="s">
        <v>553</v>
      </c>
      <c r="D198" s="2" t="s">
        <v>554</v>
      </c>
      <c r="E198" s="2" t="s">
        <v>555</v>
      </c>
      <c r="F198" s="2" t="s">
        <v>15</v>
      </c>
      <c r="G198" s="2"/>
      <c r="H198" s="2" t="e">
        <f>_xlfn.XMATCH(CAL[[#This Row],[Allocated Tech]],CAL[[#This Row],[Fleet check Driver logged in]],0)</f>
        <v>#N/A</v>
      </c>
      <c r="I198" s="2"/>
      <c r="J198" s="2"/>
      <c r="K198" s="2" t="e">
        <f>_xlfn.XLOOKUP(CAL[[#This Row],[Registration]],[1]Subscriptions!$A:$A,[1]Subscriptions!#REF!)</f>
        <v>#REF!</v>
      </c>
    </row>
    <row r="199" spans="1:11" x14ac:dyDescent="0.25">
      <c r="A199" s="2" t="s">
        <v>548</v>
      </c>
      <c r="B199" s="2">
        <v>602</v>
      </c>
      <c r="C199" s="2" t="s">
        <v>556</v>
      </c>
      <c r="D199" s="2" t="s">
        <v>557</v>
      </c>
      <c r="E199" s="2" t="s">
        <v>558</v>
      </c>
      <c r="F199" s="2" t="s">
        <v>15</v>
      </c>
      <c r="G199" s="2"/>
      <c r="H199" s="2">
        <f>_xlfn.XMATCH(CAL[[#This Row],[Allocated Tech]],CAL[[#This Row],[Fleet check Driver logged in]],0)</f>
        <v>1</v>
      </c>
      <c r="I199" s="2"/>
      <c r="J199" s="2"/>
      <c r="K199" s="2" t="e">
        <f>_xlfn.XLOOKUP(CAL[[#This Row],[Registration]],[1]Subscriptions!$A:$A,[1]Subscriptions!#REF!)</f>
        <v>#REF!</v>
      </c>
    </row>
    <row r="200" spans="1:11" x14ac:dyDescent="0.25">
      <c r="A200" s="2" t="s">
        <v>548</v>
      </c>
      <c r="B200" s="2">
        <v>186</v>
      </c>
      <c r="C200" s="2" t="s">
        <v>559</v>
      </c>
      <c r="D200" s="2" t="s">
        <v>560</v>
      </c>
      <c r="E200" s="2" t="s">
        <v>561</v>
      </c>
      <c r="F200" s="2" t="s">
        <v>15</v>
      </c>
      <c r="G200" s="2"/>
      <c r="H200" s="2">
        <f>_xlfn.XMATCH(CAL[[#This Row],[Allocated Tech]],CAL[[#This Row],[Fleet check Driver logged in]],0)</f>
        <v>1</v>
      </c>
      <c r="I200" s="2"/>
      <c r="J200" s="2"/>
      <c r="K200" s="2" t="e">
        <f>_xlfn.XLOOKUP(CAL[[#This Row],[Registration]],[1]Subscriptions!$A:$A,[1]Subscriptions!#REF!)</f>
        <v>#REF!</v>
      </c>
    </row>
    <row r="201" spans="1:11" x14ac:dyDescent="0.25">
      <c r="A201" s="2" t="s">
        <v>548</v>
      </c>
      <c r="B201" s="2">
        <v>135</v>
      </c>
      <c r="C201" s="2" t="s">
        <v>562</v>
      </c>
      <c r="D201" s="2" t="s">
        <v>563</v>
      </c>
      <c r="E201" s="2"/>
      <c r="F201" s="2" t="s">
        <v>5</v>
      </c>
      <c r="G201" s="2"/>
      <c r="H201" s="2" t="e">
        <f>_xlfn.XMATCH(CAL[[#This Row],[Allocated Tech]],CAL[[#This Row],[Fleet check Driver logged in]],0)</f>
        <v>#N/A</v>
      </c>
      <c r="I201" s="2"/>
      <c r="J201" s="2"/>
      <c r="K201" s="2" t="e">
        <f>_xlfn.XLOOKUP(CAL[[#This Row],[Registration]],[1]Subscriptions!$A:$A,[1]Subscriptions!#REF!)</f>
        <v>#REF!</v>
      </c>
    </row>
    <row r="202" spans="1:11" x14ac:dyDescent="0.25">
      <c r="A202" s="2" t="s">
        <v>548</v>
      </c>
      <c r="B202" s="2">
        <v>189</v>
      </c>
      <c r="C202" s="2" t="s">
        <v>564</v>
      </c>
      <c r="D202" s="2" t="s">
        <v>565</v>
      </c>
      <c r="E202" s="2" t="s">
        <v>566</v>
      </c>
      <c r="F202" s="2" t="s">
        <v>15</v>
      </c>
      <c r="G202" s="2"/>
      <c r="H202" s="2" t="e">
        <f>_xlfn.XMATCH(CAL[[#This Row],[Allocated Tech]],CAL[[#This Row],[Fleet check Driver logged in]],0)</f>
        <v>#N/A</v>
      </c>
      <c r="I202" s="2"/>
      <c r="J202" s="2"/>
      <c r="K202" s="2" t="e">
        <f>_xlfn.XLOOKUP(CAL[[#This Row],[Registration]],[1]Subscriptions!$A:$A,[1]Subscriptions!#REF!)</f>
        <v>#REF!</v>
      </c>
    </row>
    <row r="203" spans="1:11" x14ac:dyDescent="0.25">
      <c r="A203" s="2" t="s">
        <v>548</v>
      </c>
      <c r="B203" s="2">
        <v>315</v>
      </c>
      <c r="C203" s="2" t="s">
        <v>567</v>
      </c>
      <c r="D203" s="2" t="s">
        <v>568</v>
      </c>
      <c r="E203" s="2" t="s">
        <v>569</v>
      </c>
      <c r="F203" s="2" t="s">
        <v>15</v>
      </c>
      <c r="G203" s="2"/>
      <c r="H203" s="2" t="e">
        <f>_xlfn.XMATCH(CAL[[#This Row],[Allocated Tech]],CAL[[#This Row],[Fleet check Driver logged in]],0)</f>
        <v>#N/A</v>
      </c>
      <c r="I203" s="2"/>
      <c r="J203" s="2"/>
      <c r="K203" s="2" t="e">
        <f>_xlfn.XLOOKUP(CAL[[#This Row],[Registration]],[1]Subscriptions!$A:$A,[1]Subscriptions!#REF!)</f>
        <v>#REF!</v>
      </c>
    </row>
    <row r="204" spans="1:11" x14ac:dyDescent="0.25">
      <c r="A204" s="2" t="s">
        <v>548</v>
      </c>
      <c r="B204" s="2">
        <v>347</v>
      </c>
      <c r="C204" s="2" t="s">
        <v>570</v>
      </c>
      <c r="D204" s="2" t="s">
        <v>571</v>
      </c>
      <c r="E204" s="2" t="s">
        <v>572</v>
      </c>
      <c r="F204" s="2" t="s">
        <v>15</v>
      </c>
      <c r="G204" s="2"/>
      <c r="H204" s="2" t="e">
        <f>_xlfn.XMATCH(CAL[[#This Row],[Allocated Tech]],CAL[[#This Row],[Fleet check Driver logged in]],0)</f>
        <v>#N/A</v>
      </c>
      <c r="I204" s="2"/>
      <c r="J204" s="2"/>
      <c r="K204" s="2" t="e">
        <f>_xlfn.XLOOKUP(CAL[[#This Row],[Registration]],[1]Subscriptions!$A:$A,[1]Subscriptions!#REF!)</f>
        <v>#REF!</v>
      </c>
    </row>
    <row r="205" spans="1:11" x14ac:dyDescent="0.25">
      <c r="A205" s="2" t="s">
        <v>548</v>
      </c>
      <c r="B205" s="2">
        <v>272</v>
      </c>
      <c r="C205" s="2" t="s">
        <v>573</v>
      </c>
      <c r="D205" s="2" t="s">
        <v>574</v>
      </c>
      <c r="E205" s="2" t="s">
        <v>575</v>
      </c>
      <c r="F205" s="2" t="s">
        <v>15</v>
      </c>
      <c r="G205" s="2"/>
      <c r="H205" s="2">
        <f>_xlfn.XMATCH(CAL[[#This Row],[Allocated Tech]],CAL[[#This Row],[Fleet check Driver logged in]],0)</f>
        <v>1</v>
      </c>
      <c r="I205" s="2"/>
      <c r="J205" s="2"/>
      <c r="K205" s="2" t="e">
        <f>_xlfn.XLOOKUP(CAL[[#This Row],[Registration]],[1]Subscriptions!$A:$A,[1]Subscriptions!#REF!)</f>
        <v>#REF!</v>
      </c>
    </row>
    <row r="206" spans="1:11" x14ac:dyDescent="0.25">
      <c r="A206" s="2" t="s">
        <v>548</v>
      </c>
      <c r="B206" s="2">
        <v>835</v>
      </c>
      <c r="C206" s="2" t="s">
        <v>576</v>
      </c>
      <c r="D206" s="2" t="s">
        <v>577</v>
      </c>
      <c r="E206" s="2" t="s">
        <v>578</v>
      </c>
      <c r="F206" s="2" t="s">
        <v>15</v>
      </c>
      <c r="G206" s="2"/>
      <c r="H206" s="2">
        <f>_xlfn.XMATCH(CAL[[#This Row],[Allocated Tech]],CAL[[#This Row],[Fleet check Driver logged in]],0)</f>
        <v>1</v>
      </c>
      <c r="I206" s="2"/>
      <c r="J206" s="2"/>
      <c r="K206" s="2" t="e">
        <f>_xlfn.XLOOKUP(CAL[[#This Row],[Registration]],[1]Subscriptions!$A:$A,[1]Subscriptions!#REF!)</f>
        <v>#REF!</v>
      </c>
    </row>
    <row r="207" spans="1:11" x14ac:dyDescent="0.25">
      <c r="A207" s="2" t="s">
        <v>548</v>
      </c>
      <c r="B207" s="2">
        <v>341</v>
      </c>
      <c r="C207" s="2" t="s">
        <v>579</v>
      </c>
      <c r="D207" s="2" t="s">
        <v>580</v>
      </c>
      <c r="E207" s="2"/>
      <c r="F207" s="2" t="s">
        <v>5</v>
      </c>
      <c r="G207" s="2"/>
      <c r="H207" s="2" t="e">
        <f>_xlfn.XMATCH(CAL[[#This Row],[Allocated Tech]],CAL[[#This Row],[Fleet check Driver logged in]],0)</f>
        <v>#N/A</v>
      </c>
      <c r="I207" s="2"/>
      <c r="J207" s="2"/>
      <c r="K207" s="2" t="e">
        <f>_xlfn.XLOOKUP(CAL[[#This Row],[Registration]],[1]Subscriptions!$A:$A,[1]Subscriptions!#REF!)</f>
        <v>#REF!</v>
      </c>
    </row>
    <row r="208" spans="1:11" x14ac:dyDescent="0.25">
      <c r="A208" s="2" t="s">
        <v>548</v>
      </c>
      <c r="B208" s="2">
        <v>250</v>
      </c>
      <c r="C208" s="2" t="s">
        <v>581</v>
      </c>
      <c r="D208" s="2" t="s">
        <v>582</v>
      </c>
      <c r="E208" s="2" t="s">
        <v>583</v>
      </c>
      <c r="F208" s="2" t="s">
        <v>15</v>
      </c>
      <c r="G208" s="2"/>
      <c r="H208" s="2">
        <f>_xlfn.XMATCH(CAL[[#This Row],[Allocated Tech]],CAL[[#This Row],[Fleet check Driver logged in]],0)</f>
        <v>1</v>
      </c>
      <c r="I208" s="2"/>
      <c r="J208" s="2"/>
      <c r="K208" s="2" t="e">
        <f>_xlfn.XLOOKUP(CAL[[#This Row],[Registration]],[1]Subscriptions!$A:$A,[1]Subscriptions!#REF!)</f>
        <v>#REF!</v>
      </c>
    </row>
    <row r="209" spans="1:11" x14ac:dyDescent="0.25">
      <c r="A209" s="2" t="s">
        <v>548</v>
      </c>
      <c r="B209" s="2">
        <v>881</v>
      </c>
      <c r="C209" s="2" t="s">
        <v>584</v>
      </c>
      <c r="D209" s="2" t="s">
        <v>585</v>
      </c>
      <c r="E209" s="2" t="s">
        <v>586</v>
      </c>
      <c r="F209" s="2" t="s">
        <v>15</v>
      </c>
      <c r="G209" s="2"/>
      <c r="H209" s="2" t="e">
        <f>_xlfn.XMATCH(CAL[[#This Row],[Allocated Tech]],CAL[[#This Row],[Fleet check Driver logged in]],0)</f>
        <v>#N/A</v>
      </c>
      <c r="I209" s="2"/>
      <c r="J209" s="2"/>
      <c r="K209" s="2" t="e">
        <f>_xlfn.XLOOKUP(CAL[[#This Row],[Registration]],[1]Subscriptions!$A:$A,[1]Subscriptions!#REF!)</f>
        <v>#REF!</v>
      </c>
    </row>
    <row r="210" spans="1:11" x14ac:dyDescent="0.25">
      <c r="A210" s="2" t="s">
        <v>548</v>
      </c>
      <c r="B210" s="2">
        <v>239</v>
      </c>
      <c r="C210" s="2" t="s">
        <v>587</v>
      </c>
      <c r="D210" s="2" t="s">
        <v>588</v>
      </c>
      <c r="E210" s="2" t="s">
        <v>589</v>
      </c>
      <c r="F210" s="2" t="s">
        <v>15</v>
      </c>
      <c r="G210" s="2"/>
      <c r="H210" s="2" t="e">
        <f>_xlfn.XMATCH(CAL[[#This Row],[Allocated Tech]],CAL[[#This Row],[Fleet check Driver logged in]],0)</f>
        <v>#N/A</v>
      </c>
      <c r="I210" s="2"/>
      <c r="J210" s="2"/>
      <c r="K210" s="2" t="e">
        <f>_xlfn.XLOOKUP(CAL[[#This Row],[Registration]],[1]Subscriptions!$A:$A,[1]Subscriptions!#REF!)</f>
        <v>#REF!</v>
      </c>
    </row>
    <row r="211" spans="1:11" x14ac:dyDescent="0.25">
      <c r="A211" s="2" t="s">
        <v>548</v>
      </c>
      <c r="B211" s="2">
        <v>895</v>
      </c>
      <c r="C211" s="2" t="s">
        <v>590</v>
      </c>
      <c r="D211" s="2" t="s">
        <v>591</v>
      </c>
      <c r="E211" s="2" t="s">
        <v>592</v>
      </c>
      <c r="F211" s="2" t="s">
        <v>15</v>
      </c>
      <c r="G211" s="2"/>
      <c r="H211" s="2">
        <f>_xlfn.XMATCH(CAL[[#This Row],[Allocated Tech]],CAL[[#This Row],[Fleet check Driver logged in]],0)</f>
        <v>1</v>
      </c>
      <c r="I211" s="2"/>
      <c r="J211" s="2"/>
      <c r="K211" s="2" t="e">
        <f>_xlfn.XLOOKUP(CAL[[#This Row],[Registration]],[1]Subscriptions!$A:$A,[1]Subscriptions!#REF!)</f>
        <v>#REF!</v>
      </c>
    </row>
    <row r="212" spans="1:11" x14ac:dyDescent="0.25">
      <c r="A212" s="2" t="s">
        <v>548</v>
      </c>
      <c r="B212" s="2">
        <v>155</v>
      </c>
      <c r="C212" s="2" t="s">
        <v>593</v>
      </c>
      <c r="D212" s="2" t="s">
        <v>594</v>
      </c>
      <c r="E212" s="2" t="s">
        <v>595</v>
      </c>
      <c r="F212" s="2" t="s">
        <v>15</v>
      </c>
      <c r="G212" s="2"/>
      <c r="H212" s="2">
        <f>_xlfn.XMATCH(CAL[[#This Row],[Allocated Tech]],CAL[[#This Row],[Fleet check Driver logged in]],0)</f>
        <v>1</v>
      </c>
      <c r="I212" s="2"/>
      <c r="J212" s="2"/>
      <c r="K212" s="2" t="e">
        <f>_xlfn.XLOOKUP(CAL[[#This Row],[Registration]],[1]Subscriptions!$A:$A,[1]Subscriptions!#REF!)</f>
        <v>#REF!</v>
      </c>
    </row>
    <row r="213" spans="1:11" x14ac:dyDescent="0.25">
      <c r="A213" s="2" t="s">
        <v>548</v>
      </c>
      <c r="B213" s="2">
        <v>237</v>
      </c>
      <c r="C213" s="2" t="s">
        <v>596</v>
      </c>
      <c r="D213" s="2" t="s">
        <v>597</v>
      </c>
      <c r="E213" s="2" t="s">
        <v>598</v>
      </c>
      <c r="F213" s="2" t="s">
        <v>15</v>
      </c>
      <c r="G213" s="2"/>
      <c r="H213" s="2" t="e">
        <f>_xlfn.XMATCH(CAL[[#This Row],[Allocated Tech]],CAL[[#This Row],[Fleet check Driver logged in]],0)</f>
        <v>#N/A</v>
      </c>
      <c r="I213" s="2"/>
      <c r="J213" s="2"/>
      <c r="K213" s="2" t="e">
        <f>_xlfn.XLOOKUP(CAL[[#This Row],[Registration]],[1]Subscriptions!$A:$A,[1]Subscriptions!#REF!)</f>
        <v>#REF!</v>
      </c>
    </row>
    <row r="214" spans="1:11" x14ac:dyDescent="0.25">
      <c r="A214" s="2" t="s">
        <v>548</v>
      </c>
      <c r="B214" s="2">
        <v>225</v>
      </c>
      <c r="C214" s="2" t="s">
        <v>599</v>
      </c>
      <c r="D214" s="2" t="s">
        <v>600</v>
      </c>
      <c r="E214" s="2" t="s">
        <v>601</v>
      </c>
      <c r="F214" s="2" t="s">
        <v>15</v>
      </c>
      <c r="G214" s="2"/>
      <c r="H214" s="2" t="e">
        <f>_xlfn.XMATCH(CAL[[#This Row],[Allocated Tech]],CAL[[#This Row],[Fleet check Driver logged in]],0)</f>
        <v>#N/A</v>
      </c>
      <c r="I214" s="2"/>
      <c r="J214" s="2"/>
      <c r="K214" s="2" t="e">
        <f>_xlfn.XLOOKUP(CAL[[#This Row],[Registration]],[1]Subscriptions!$A:$A,[1]Subscriptions!#REF!)</f>
        <v>#REF!</v>
      </c>
    </row>
    <row r="215" spans="1:11" x14ac:dyDescent="0.25">
      <c r="A215" s="2" t="s">
        <v>548</v>
      </c>
      <c r="B215" s="2">
        <v>264</v>
      </c>
      <c r="C215" s="2" t="s">
        <v>602</v>
      </c>
      <c r="D215" s="2" t="s">
        <v>603</v>
      </c>
      <c r="E215" s="2" t="s">
        <v>604</v>
      </c>
      <c r="F215" s="2" t="s">
        <v>15</v>
      </c>
      <c r="G215" s="2"/>
      <c r="H215" s="2" t="e">
        <f>_xlfn.XMATCH(CAL[[#This Row],[Allocated Tech]],CAL[[#This Row],[Fleet check Driver logged in]],0)</f>
        <v>#N/A</v>
      </c>
      <c r="I215" s="2"/>
      <c r="J215" s="2"/>
      <c r="K215" s="2" t="e">
        <f>_xlfn.XLOOKUP(CAL[[#This Row],[Registration]],[1]Subscriptions!$A:$A,[1]Subscriptions!#REF!)</f>
        <v>#REF!</v>
      </c>
    </row>
    <row r="216" spans="1:11" x14ac:dyDescent="0.25">
      <c r="A216" s="2" t="s">
        <v>548</v>
      </c>
      <c r="B216" s="2">
        <v>772</v>
      </c>
      <c r="C216" s="2" t="s">
        <v>605</v>
      </c>
      <c r="D216" s="2" t="s">
        <v>606</v>
      </c>
      <c r="E216" s="2" t="s">
        <v>607</v>
      </c>
      <c r="F216" s="2" t="s">
        <v>15</v>
      </c>
      <c r="G216" s="2"/>
      <c r="H216" s="2" t="e">
        <f>_xlfn.XMATCH(CAL[[#This Row],[Allocated Tech]],CAL[[#This Row],[Fleet check Driver logged in]],0)</f>
        <v>#N/A</v>
      </c>
      <c r="I216" s="2"/>
      <c r="J216" s="2"/>
      <c r="K216" s="2" t="e">
        <f>_xlfn.XLOOKUP(CAL[[#This Row],[Registration]],[1]Subscriptions!$A:$A,[1]Subscriptions!#REF!)</f>
        <v>#REF!</v>
      </c>
    </row>
    <row r="217" spans="1:11" x14ac:dyDescent="0.25">
      <c r="A217" s="2" t="s">
        <v>548</v>
      </c>
      <c r="B217" s="2">
        <v>503</v>
      </c>
      <c r="C217" s="2" t="s">
        <v>608</v>
      </c>
      <c r="D217" s="2" t="s">
        <v>609</v>
      </c>
      <c r="E217" s="2" t="s">
        <v>610</v>
      </c>
      <c r="F217" s="2" t="s">
        <v>15</v>
      </c>
      <c r="G217" s="2"/>
      <c r="H217" s="2">
        <f>_xlfn.XMATCH(CAL[[#This Row],[Allocated Tech]],CAL[[#This Row],[Fleet check Driver logged in]],0)</f>
        <v>1</v>
      </c>
      <c r="I217" s="2"/>
      <c r="J217" s="2"/>
      <c r="K217" s="2" t="e">
        <f>_xlfn.XLOOKUP(CAL[[#This Row],[Registration]],[1]Subscriptions!$A:$A,[1]Subscriptions!#REF!)</f>
        <v>#REF!</v>
      </c>
    </row>
    <row r="218" spans="1:11" x14ac:dyDescent="0.25">
      <c r="A218" s="2" t="s">
        <v>548</v>
      </c>
      <c r="B218" s="2">
        <v>543</v>
      </c>
      <c r="C218" s="2" t="s">
        <v>611</v>
      </c>
      <c r="D218" s="2" t="s">
        <v>612</v>
      </c>
      <c r="E218" s="2" t="s">
        <v>613</v>
      </c>
      <c r="F218" s="2" t="s">
        <v>15</v>
      </c>
      <c r="G218" s="2"/>
      <c r="H218" s="2" t="e">
        <f>_xlfn.XMATCH(CAL[[#This Row],[Allocated Tech]],CAL[[#This Row],[Fleet check Driver logged in]],0)</f>
        <v>#N/A</v>
      </c>
      <c r="I218" s="2"/>
      <c r="J218" s="2"/>
      <c r="K218" s="2" t="e">
        <f>_xlfn.XLOOKUP(CAL[[#This Row],[Registration]],[1]Subscriptions!$A:$A,[1]Subscriptions!#REF!)</f>
        <v>#REF!</v>
      </c>
    </row>
    <row r="219" spans="1:11" x14ac:dyDescent="0.25">
      <c r="A219" s="2" t="s">
        <v>548</v>
      </c>
      <c r="B219" s="2">
        <v>139</v>
      </c>
      <c r="C219" s="2" t="s">
        <v>614</v>
      </c>
      <c r="D219" s="2" t="s">
        <v>615</v>
      </c>
      <c r="E219" s="2" t="s">
        <v>616</v>
      </c>
      <c r="F219" s="2" t="s">
        <v>15</v>
      </c>
      <c r="G219" s="2"/>
      <c r="H219" s="2">
        <f>_xlfn.XMATCH(CAL[[#This Row],[Allocated Tech]],CAL[[#This Row],[Fleet check Driver logged in]],0)</f>
        <v>1</v>
      </c>
      <c r="I219" s="2"/>
      <c r="J219" s="2"/>
      <c r="K219" s="2" t="e">
        <f>_xlfn.XLOOKUP(CAL[[#This Row],[Registration]],[1]Subscriptions!$A:$A,[1]Subscriptions!#REF!)</f>
        <v>#REF!</v>
      </c>
    </row>
    <row r="220" spans="1:11" x14ac:dyDescent="0.25">
      <c r="A220" s="2" t="s">
        <v>548</v>
      </c>
      <c r="B220" s="2">
        <v>549</v>
      </c>
      <c r="C220" s="2" t="s">
        <v>617</v>
      </c>
      <c r="D220" s="2" t="s">
        <v>618</v>
      </c>
      <c r="E220" s="2" t="s">
        <v>619</v>
      </c>
      <c r="F220" s="2" t="s">
        <v>15</v>
      </c>
      <c r="G220" s="2"/>
      <c r="H220" s="2">
        <f>_xlfn.XMATCH(CAL[[#This Row],[Allocated Tech]],CAL[[#This Row],[Fleet check Driver logged in]],0)</f>
        <v>1</v>
      </c>
      <c r="I220" s="2"/>
      <c r="J220" s="2"/>
      <c r="K220" s="2" t="e">
        <f>_xlfn.XLOOKUP(CAL[[#This Row],[Registration]],[1]Subscriptions!$A:$A,[1]Subscriptions!#REF!)</f>
        <v>#REF!</v>
      </c>
    </row>
    <row r="221" spans="1:11" x14ac:dyDescent="0.25">
      <c r="A221" s="2" t="s">
        <v>548</v>
      </c>
      <c r="B221" s="2">
        <v>618</v>
      </c>
      <c r="C221" s="2" t="s">
        <v>620</v>
      </c>
      <c r="D221" s="2" t="s">
        <v>621</v>
      </c>
      <c r="E221" s="2" t="s">
        <v>622</v>
      </c>
      <c r="F221" s="2" t="s">
        <v>15</v>
      </c>
      <c r="G221" s="2"/>
      <c r="H221" s="2">
        <f>_xlfn.XMATCH(CAL[[#This Row],[Allocated Tech]],CAL[[#This Row],[Fleet check Driver logged in]],0)</f>
        <v>1</v>
      </c>
      <c r="I221" s="2"/>
      <c r="J221" s="2"/>
      <c r="K221" s="2" t="e">
        <f>_xlfn.XLOOKUP(CAL[[#This Row],[Registration]],[1]Subscriptions!$A:$A,[1]Subscriptions!#REF!)</f>
        <v>#REF!</v>
      </c>
    </row>
    <row r="222" spans="1:11" x14ac:dyDescent="0.25">
      <c r="A222" s="2" t="s">
        <v>548</v>
      </c>
      <c r="B222" s="2">
        <v>604</v>
      </c>
      <c r="C222" s="2" t="s">
        <v>623</v>
      </c>
      <c r="D222" s="2" t="s">
        <v>624</v>
      </c>
      <c r="E222" s="2" t="s">
        <v>625</v>
      </c>
      <c r="F222" s="2" t="s">
        <v>15</v>
      </c>
      <c r="G222" s="2"/>
      <c r="H222" s="2">
        <f>_xlfn.XMATCH(CAL[[#This Row],[Allocated Tech]],CAL[[#This Row],[Fleet check Driver logged in]],0)</f>
        <v>1</v>
      </c>
      <c r="I222" s="2"/>
      <c r="J222" s="2"/>
      <c r="K222" s="2" t="e">
        <f>_xlfn.XLOOKUP(CAL[[#This Row],[Registration]],[1]Subscriptions!$A:$A,[1]Subscriptions!#REF!)</f>
        <v>#REF!</v>
      </c>
    </row>
    <row r="223" spans="1:11" x14ac:dyDescent="0.25">
      <c r="A223" s="2" t="s">
        <v>548</v>
      </c>
      <c r="B223" s="2">
        <v>615</v>
      </c>
      <c r="C223" s="2" t="s">
        <v>626</v>
      </c>
      <c r="D223" s="2" t="s">
        <v>627</v>
      </c>
      <c r="E223" s="2" t="s">
        <v>628</v>
      </c>
      <c r="F223" s="2" t="s">
        <v>15</v>
      </c>
      <c r="G223" s="2"/>
      <c r="H223" s="2" t="e">
        <f>_xlfn.XMATCH(CAL[[#This Row],[Allocated Tech]],CAL[[#This Row],[Fleet check Driver logged in]],0)</f>
        <v>#N/A</v>
      </c>
      <c r="I223" s="2"/>
      <c r="J223" s="2"/>
      <c r="K223" s="2" t="e">
        <f>_xlfn.XLOOKUP(CAL[[#This Row],[Registration]],[1]Subscriptions!$A:$A,[1]Subscriptions!#REF!)</f>
        <v>#REF!</v>
      </c>
    </row>
    <row r="224" spans="1:11" x14ac:dyDescent="0.25">
      <c r="A224" s="2" t="s">
        <v>548</v>
      </c>
      <c r="B224" s="2">
        <v>536</v>
      </c>
      <c r="C224" s="2" t="s">
        <v>629</v>
      </c>
      <c r="D224" s="2" t="s">
        <v>630</v>
      </c>
      <c r="E224" s="2" t="s">
        <v>631</v>
      </c>
      <c r="F224" s="2" t="s">
        <v>15</v>
      </c>
      <c r="G224" s="2"/>
      <c r="H224" s="2" t="e">
        <f>_xlfn.XMATCH(CAL[[#This Row],[Allocated Tech]],CAL[[#This Row],[Fleet check Driver logged in]],0)</f>
        <v>#N/A</v>
      </c>
      <c r="I224" s="2"/>
      <c r="J224" s="2"/>
      <c r="K224" s="2" t="e">
        <f>_xlfn.XLOOKUP(CAL[[#This Row],[Registration]],[1]Subscriptions!$A:$A,[1]Subscriptions!#REF!)</f>
        <v>#REF!</v>
      </c>
    </row>
    <row r="225" spans="1:11" x14ac:dyDescent="0.25">
      <c r="A225" s="2" t="s">
        <v>548</v>
      </c>
      <c r="B225" s="2">
        <v>501</v>
      </c>
      <c r="C225" s="2" t="s">
        <v>632</v>
      </c>
      <c r="D225" s="2" t="s">
        <v>633</v>
      </c>
      <c r="E225" s="2" t="s">
        <v>634</v>
      </c>
      <c r="F225" s="2" t="s">
        <v>15</v>
      </c>
      <c r="G225" s="2"/>
      <c r="H225" s="2">
        <f>_xlfn.XMATCH(CAL[[#This Row],[Allocated Tech]],CAL[[#This Row],[Fleet check Driver logged in]],0)</f>
        <v>1</v>
      </c>
      <c r="I225" s="2"/>
      <c r="J225" s="2"/>
      <c r="K225" s="2" t="e">
        <f>_xlfn.XLOOKUP(CAL[[#This Row],[Registration]],[1]Subscriptions!$A:$A,[1]Subscriptions!#REF!)</f>
        <v>#REF!</v>
      </c>
    </row>
    <row r="226" spans="1:11" x14ac:dyDescent="0.25">
      <c r="A226" s="2" t="s">
        <v>548</v>
      </c>
      <c r="B226" s="2">
        <v>506</v>
      </c>
      <c r="C226" s="2" t="s">
        <v>635</v>
      </c>
      <c r="D226" s="2" t="s">
        <v>636</v>
      </c>
      <c r="E226" s="2" t="s">
        <v>637</v>
      </c>
      <c r="F226" s="2" t="s">
        <v>15</v>
      </c>
      <c r="G226" s="2"/>
      <c r="H226" s="2">
        <f>_xlfn.XMATCH(CAL[[#This Row],[Allocated Tech]],CAL[[#This Row],[Fleet check Driver logged in]],0)</f>
        <v>1</v>
      </c>
      <c r="I226" s="2"/>
      <c r="J226" s="2"/>
      <c r="K226" s="2" t="e">
        <f>_xlfn.XLOOKUP(CAL[[#This Row],[Registration]],[1]Subscriptions!$A:$A,[1]Subscriptions!#REF!)</f>
        <v>#REF!</v>
      </c>
    </row>
    <row r="227" spans="1:11" x14ac:dyDescent="0.25">
      <c r="A227" s="2" t="s">
        <v>548</v>
      </c>
      <c r="B227" s="2"/>
      <c r="C227" s="2" t="s">
        <v>638</v>
      </c>
      <c r="D227" s="2"/>
      <c r="E227" s="2"/>
      <c r="F227" s="2" t="s">
        <v>15</v>
      </c>
      <c r="G227" s="2"/>
      <c r="H227" s="2">
        <f>_xlfn.XMATCH(CAL[[#This Row],[Allocated Tech]],CAL[[#This Row],[Fleet check Driver logged in]],0)</f>
        <v>1</v>
      </c>
      <c r="I227" s="2"/>
      <c r="J227" s="2"/>
      <c r="K227" s="2" t="e">
        <f>_xlfn.XLOOKUP(CAL[[#This Row],[Registration]],[1]Subscriptions!$A:$A,[1]Subscriptions!#REF!)</f>
        <v>#REF!</v>
      </c>
    </row>
    <row r="228" spans="1:11" x14ac:dyDescent="0.25">
      <c r="A228" s="2" t="s">
        <v>548</v>
      </c>
      <c r="B228" s="2">
        <v>313</v>
      </c>
      <c r="C228" s="2" t="s">
        <v>639</v>
      </c>
      <c r="D228" s="2" t="s">
        <v>640</v>
      </c>
      <c r="E228" s="2" t="s">
        <v>641</v>
      </c>
      <c r="F228" s="2" t="s">
        <v>15</v>
      </c>
      <c r="G228" s="2"/>
      <c r="H228" s="2" t="e">
        <f>_xlfn.XMATCH(CAL[[#This Row],[Allocated Tech]],CAL[[#This Row],[Fleet check Driver logged in]],0)</f>
        <v>#N/A</v>
      </c>
      <c r="I228" s="2"/>
      <c r="J228" s="2"/>
      <c r="K228" s="2" t="e">
        <f>_xlfn.XLOOKUP(CAL[[#This Row],[Registration]],[1]Subscriptions!$A:$A,[1]Subscriptions!#REF!)</f>
        <v>#REF!</v>
      </c>
    </row>
    <row r="229" spans="1:11" x14ac:dyDescent="0.25">
      <c r="A229" s="2" t="s">
        <v>548</v>
      </c>
      <c r="B229" s="2"/>
      <c r="C229" s="2" t="s">
        <v>642</v>
      </c>
      <c r="D229" s="2"/>
      <c r="E229" s="2"/>
      <c r="F229" s="2" t="s">
        <v>15</v>
      </c>
      <c r="G229" s="2"/>
      <c r="H229" s="2">
        <f>_xlfn.XMATCH(CAL[[#This Row],[Allocated Tech]],CAL[[#This Row],[Fleet check Driver logged in]],0)</f>
        <v>1</v>
      </c>
      <c r="I229" s="2"/>
      <c r="J229" s="2"/>
      <c r="K229" s="2" t="e">
        <f>_xlfn.XLOOKUP(CAL[[#This Row],[Registration]],[1]Subscriptions!$A:$A,[1]Subscriptions!#REF!)</f>
        <v>#REF!</v>
      </c>
    </row>
    <row r="230" spans="1:11" x14ac:dyDescent="0.25">
      <c r="A230" s="2" t="s">
        <v>548</v>
      </c>
      <c r="B230" s="2">
        <v>504</v>
      </c>
      <c r="C230" s="2" t="s">
        <v>643</v>
      </c>
      <c r="D230" s="2" t="s">
        <v>644</v>
      </c>
      <c r="E230" s="2" t="s">
        <v>644</v>
      </c>
      <c r="F230" s="2" t="s">
        <v>15</v>
      </c>
      <c r="G230" s="2"/>
      <c r="H230" s="2">
        <f>_xlfn.XMATCH(CAL[[#This Row],[Allocated Tech]],CAL[[#This Row],[Fleet check Driver logged in]],0)</f>
        <v>1</v>
      </c>
      <c r="I230" s="2"/>
      <c r="J230" s="2"/>
      <c r="K230" s="2" t="e">
        <f>_xlfn.XLOOKUP(CAL[[#This Row],[Registration]],[1]Subscriptions!$A:$A,[1]Subscriptions!#REF!)</f>
        <v>#REF!</v>
      </c>
    </row>
    <row r="231" spans="1:11" x14ac:dyDescent="0.25">
      <c r="A231" s="2" t="s">
        <v>548</v>
      </c>
      <c r="B231" s="2">
        <v>725</v>
      </c>
      <c r="C231" s="2" t="s">
        <v>645</v>
      </c>
      <c r="D231" s="2" t="s">
        <v>552</v>
      </c>
      <c r="E231" s="2"/>
      <c r="F231" s="2" t="s">
        <v>15</v>
      </c>
      <c r="G231" s="2"/>
      <c r="H231" s="2" t="e">
        <f>_xlfn.XMATCH(CAL[[#This Row],[Allocated Tech]],CAL[[#This Row],[Fleet check Driver logged in]],0)</f>
        <v>#N/A</v>
      </c>
      <c r="I231" s="2"/>
      <c r="J231" s="2"/>
      <c r="K231" s="2" t="e">
        <f>_xlfn.XLOOKUP(CAL[[#This Row],[Registration]],[1]Subscriptions!$A:$A,[1]Subscriptions!#REF!)</f>
        <v>#REF!</v>
      </c>
    </row>
    <row r="232" spans="1:11" x14ac:dyDescent="0.25">
      <c r="A232" s="2" t="s">
        <v>548</v>
      </c>
      <c r="B232" s="2"/>
      <c r="C232" s="2" t="s">
        <v>646</v>
      </c>
      <c r="D232" s="2"/>
      <c r="E232" s="2"/>
      <c r="F232" s="2" t="s">
        <v>15</v>
      </c>
      <c r="G232" s="2"/>
      <c r="H232" s="2">
        <f>_xlfn.XMATCH(CAL[[#This Row],[Allocated Tech]],CAL[[#This Row],[Fleet check Driver logged in]],0)</f>
        <v>1</v>
      </c>
      <c r="I232" s="2"/>
      <c r="J232" s="2"/>
      <c r="K232" s="2" t="e">
        <f>_xlfn.XLOOKUP(CAL[[#This Row],[Registration]],[1]Subscriptions!$A:$A,[1]Subscriptions!#REF!)</f>
        <v>#REF!</v>
      </c>
    </row>
    <row r="233" spans="1:11" x14ac:dyDescent="0.25">
      <c r="A233" s="2" t="s">
        <v>548</v>
      </c>
      <c r="B233" s="2">
        <v>584</v>
      </c>
      <c r="C233" s="2" t="s">
        <v>647</v>
      </c>
      <c r="D233" s="2" t="s">
        <v>552</v>
      </c>
      <c r="E233" s="2"/>
      <c r="F233" s="2" t="s">
        <v>15</v>
      </c>
      <c r="G233" s="2"/>
      <c r="H233" s="2" t="e">
        <f>_xlfn.XMATCH(CAL[[#This Row],[Allocated Tech]],CAL[[#This Row],[Fleet check Driver logged in]],0)</f>
        <v>#N/A</v>
      </c>
      <c r="I233" s="2"/>
      <c r="J233" s="2"/>
      <c r="K233" s="2" t="e">
        <f>_xlfn.XLOOKUP(CAL[[#This Row],[Registration]],[1]Subscriptions!$A:$A,[1]Subscriptions!#REF!)</f>
        <v>#REF!</v>
      </c>
    </row>
    <row r="234" spans="1:11" x14ac:dyDescent="0.25">
      <c r="A234" s="2" t="s">
        <v>548</v>
      </c>
      <c r="B234" s="2">
        <v>591</v>
      </c>
      <c r="C234" s="2" t="s">
        <v>648</v>
      </c>
      <c r="D234" s="2" t="s">
        <v>649</v>
      </c>
      <c r="E234" s="2" t="s">
        <v>650</v>
      </c>
      <c r="F234" s="2" t="s">
        <v>15</v>
      </c>
      <c r="G234" s="2"/>
      <c r="H234" s="2" t="e">
        <f>_xlfn.XMATCH(CAL[[#This Row],[Allocated Tech]],CAL[[#This Row],[Fleet check Driver logged in]],0)</f>
        <v>#N/A</v>
      </c>
      <c r="I234" s="2"/>
      <c r="J234" s="2"/>
      <c r="K234" s="2" t="e">
        <f>_xlfn.XLOOKUP(CAL[[#This Row],[Registration]],[1]Subscriptions!$A:$A,[1]Subscriptions!#REF!)</f>
        <v>#REF!</v>
      </c>
    </row>
    <row r="235" spans="1:11" x14ac:dyDescent="0.25">
      <c r="A235" s="2" t="s">
        <v>548</v>
      </c>
      <c r="B235" s="2">
        <v>100</v>
      </c>
      <c r="C235" s="2" t="s">
        <v>651</v>
      </c>
      <c r="D235" s="2" t="s">
        <v>652</v>
      </c>
      <c r="E235" s="2" t="s">
        <v>653</v>
      </c>
      <c r="F235" s="2" t="s">
        <v>15</v>
      </c>
      <c r="G235" s="2"/>
      <c r="H235" s="2">
        <f>_xlfn.XMATCH(CAL[[#This Row],[Allocated Tech]],CAL[[#This Row],[Fleet check Driver logged in]],0)</f>
        <v>1</v>
      </c>
      <c r="I235" s="2"/>
      <c r="J235" s="2"/>
      <c r="K235" s="2" t="e">
        <f>_xlfn.XLOOKUP(CAL[[#This Row],[Registration]],[1]Subscriptions!$A:$A,[1]Subscriptions!#REF!)</f>
        <v>#REF!</v>
      </c>
    </row>
    <row r="236" spans="1:11" x14ac:dyDescent="0.25">
      <c r="A236" s="2" t="s">
        <v>548</v>
      </c>
      <c r="B236" s="2">
        <v>113</v>
      </c>
      <c r="C236" s="2" t="s">
        <v>654</v>
      </c>
      <c r="D236" s="2" t="s">
        <v>655</v>
      </c>
      <c r="E236" s="2" t="s">
        <v>656</v>
      </c>
      <c r="F236" s="2" t="s">
        <v>15</v>
      </c>
      <c r="G236" s="2"/>
      <c r="H236" s="2">
        <f>_xlfn.XMATCH(CAL[[#This Row],[Allocated Tech]],CAL[[#This Row],[Fleet check Driver logged in]],0)</f>
        <v>1</v>
      </c>
      <c r="I236" s="2"/>
      <c r="J236" s="2"/>
      <c r="K236" s="2" t="e">
        <f>_xlfn.XLOOKUP(CAL[[#This Row],[Registration]],[1]Subscriptions!$A:$A,[1]Subscriptions!#REF!)</f>
        <v>#REF!</v>
      </c>
    </row>
    <row r="237" spans="1:11" x14ac:dyDescent="0.25">
      <c r="A237" s="2" t="s">
        <v>548</v>
      </c>
      <c r="B237" s="2">
        <v>440</v>
      </c>
      <c r="C237" s="2" t="s">
        <v>657</v>
      </c>
      <c r="D237" s="2" t="s">
        <v>658</v>
      </c>
      <c r="E237" s="2" t="s">
        <v>659</v>
      </c>
      <c r="F237" s="2" t="s">
        <v>5</v>
      </c>
      <c r="G237" s="2"/>
      <c r="H237" s="2" t="e">
        <f>_xlfn.XMATCH(CAL[[#This Row],[Allocated Tech]],CAL[[#This Row],[Fleet check Driver logged in]],0)</f>
        <v>#N/A</v>
      </c>
      <c r="I237" s="2"/>
      <c r="J237" s="2"/>
      <c r="K237" s="2" t="e">
        <f>_xlfn.XLOOKUP(CAL[[#This Row],[Registration]],[1]Subscriptions!$A:$A,[1]Subscriptions!#REF!)</f>
        <v>#REF!</v>
      </c>
    </row>
    <row r="238" spans="1:11" x14ac:dyDescent="0.25">
      <c r="A238" s="2" t="s">
        <v>548</v>
      </c>
      <c r="B238" s="2">
        <v>581</v>
      </c>
      <c r="C238" s="2" t="s">
        <v>660</v>
      </c>
      <c r="D238" s="2" t="s">
        <v>661</v>
      </c>
      <c r="E238" s="2" t="s">
        <v>662</v>
      </c>
      <c r="F238" s="2" t="s">
        <v>15</v>
      </c>
      <c r="G238" s="2"/>
      <c r="H238" s="2">
        <f>_xlfn.XMATCH(CAL[[#This Row],[Allocated Tech]],CAL[[#This Row],[Fleet check Driver logged in]],0)</f>
        <v>1</v>
      </c>
      <c r="I238" s="2"/>
      <c r="J238" s="2"/>
      <c r="K238" s="2" t="e">
        <f>_xlfn.XLOOKUP(CAL[[#This Row],[Registration]],[1]Subscriptions!$A:$A,[1]Subscriptions!#REF!)</f>
        <v>#REF!</v>
      </c>
    </row>
    <row r="239" spans="1:11" x14ac:dyDescent="0.25">
      <c r="A239" s="2" t="s">
        <v>548</v>
      </c>
      <c r="B239" s="2">
        <v>103</v>
      </c>
      <c r="C239" s="2" t="s">
        <v>663</v>
      </c>
      <c r="D239" s="2" t="s">
        <v>664</v>
      </c>
      <c r="E239" s="2" t="s">
        <v>665</v>
      </c>
      <c r="F239" s="2" t="s">
        <v>15</v>
      </c>
      <c r="G239" s="2"/>
      <c r="H239" s="2" t="e">
        <f>_xlfn.XMATCH(CAL[[#This Row],[Allocated Tech]],CAL[[#This Row],[Fleet check Driver logged in]],0)</f>
        <v>#N/A</v>
      </c>
      <c r="I239" s="2"/>
      <c r="J239" s="2"/>
      <c r="K239" s="2" t="e">
        <f>_xlfn.XLOOKUP(CAL[[#This Row],[Registration]],[1]Subscriptions!$A:$A,[1]Subscriptions!#REF!)</f>
        <v>#REF!</v>
      </c>
    </row>
    <row r="240" spans="1:11" x14ac:dyDescent="0.25">
      <c r="A240" s="2" t="s">
        <v>548</v>
      </c>
      <c r="B240" s="2">
        <v>115</v>
      </c>
      <c r="C240" s="2" t="s">
        <v>666</v>
      </c>
      <c r="D240" s="2" t="s">
        <v>667</v>
      </c>
      <c r="E240" s="2" t="s">
        <v>668</v>
      </c>
      <c r="F240" s="2" t="s">
        <v>15</v>
      </c>
      <c r="G240" s="2"/>
      <c r="H240" s="2">
        <f>_xlfn.XMATCH(CAL[[#This Row],[Allocated Tech]],CAL[[#This Row],[Fleet check Driver logged in]],0)</f>
        <v>1</v>
      </c>
      <c r="I240" s="2"/>
      <c r="J240" s="2"/>
      <c r="K240" s="2" t="e">
        <f>_xlfn.XLOOKUP(CAL[[#This Row],[Registration]],[1]Subscriptions!$A:$A,[1]Subscriptions!#REF!)</f>
        <v>#REF!</v>
      </c>
    </row>
    <row r="241" spans="1:11" x14ac:dyDescent="0.25">
      <c r="A241" s="2" t="s">
        <v>548</v>
      </c>
      <c r="B241" s="2">
        <v>114</v>
      </c>
      <c r="C241" s="2" t="s">
        <v>669</v>
      </c>
      <c r="D241" s="2" t="s">
        <v>670</v>
      </c>
      <c r="E241" s="2"/>
      <c r="F241" s="2" t="s">
        <v>15</v>
      </c>
      <c r="G241" s="2"/>
      <c r="H241" s="2" t="e">
        <f>_xlfn.XMATCH(CAL[[#This Row],[Allocated Tech]],CAL[[#This Row],[Fleet check Driver logged in]],0)</f>
        <v>#N/A</v>
      </c>
      <c r="I241" s="2"/>
      <c r="J241" s="2"/>
      <c r="K241" s="2" t="e">
        <f>_xlfn.XLOOKUP(CAL[[#This Row],[Registration]],[1]Subscriptions!$A:$A,[1]Subscriptions!#REF!)</f>
        <v>#REF!</v>
      </c>
    </row>
    <row r="242" spans="1:11" x14ac:dyDescent="0.25">
      <c r="A242" s="2" t="s">
        <v>548</v>
      </c>
      <c r="B242" s="2">
        <v>229</v>
      </c>
      <c r="C242" s="2" t="s">
        <v>671</v>
      </c>
      <c r="D242" s="2" t="s">
        <v>672</v>
      </c>
      <c r="E242" s="2" t="s">
        <v>673</v>
      </c>
      <c r="F242" s="2" t="s">
        <v>15</v>
      </c>
      <c r="G242" s="2"/>
      <c r="H242" s="2">
        <f>_xlfn.XMATCH(CAL[[#This Row],[Allocated Tech]],CAL[[#This Row],[Fleet check Driver logged in]],0)</f>
        <v>1</v>
      </c>
      <c r="I242" s="2"/>
      <c r="J242" s="2"/>
      <c r="K242" s="2" t="e">
        <f>_xlfn.XLOOKUP(CAL[[#This Row],[Registration]],[1]Subscriptions!$A:$A,[1]Subscriptions!#REF!)</f>
        <v>#REF!</v>
      </c>
    </row>
    <row r="243" spans="1:11" x14ac:dyDescent="0.25">
      <c r="A243" s="2" t="s">
        <v>548</v>
      </c>
      <c r="B243" s="2">
        <v>324</v>
      </c>
      <c r="C243" s="2" t="s">
        <v>674</v>
      </c>
      <c r="D243" s="2" t="s">
        <v>552</v>
      </c>
      <c r="E243" s="2" t="s">
        <v>675</v>
      </c>
      <c r="F243" s="2" t="s">
        <v>15</v>
      </c>
      <c r="G243" s="2"/>
      <c r="H243" s="2" t="e">
        <f>_xlfn.XMATCH(CAL[[#This Row],[Allocated Tech]],CAL[[#This Row],[Fleet check Driver logged in]],0)</f>
        <v>#N/A</v>
      </c>
      <c r="I243" s="2"/>
      <c r="J243" s="2"/>
      <c r="K243" s="2" t="e">
        <f>_xlfn.XLOOKUP(CAL[[#This Row],[Registration]],[1]Subscriptions!$A:$A,[1]Subscriptions!#REF!)</f>
        <v>#REF!</v>
      </c>
    </row>
    <row r="244" spans="1:11" x14ac:dyDescent="0.25">
      <c r="A244" s="2" t="s">
        <v>548</v>
      </c>
      <c r="B244" s="2">
        <v>108</v>
      </c>
      <c r="C244" s="2" t="s">
        <v>676</v>
      </c>
      <c r="D244" s="2" t="s">
        <v>677</v>
      </c>
      <c r="E244" s="2" t="s">
        <v>678</v>
      </c>
      <c r="F244" s="2" t="s">
        <v>15</v>
      </c>
      <c r="G244" s="2"/>
      <c r="H244" s="2" t="e">
        <f>_xlfn.XMATCH(CAL[[#This Row],[Allocated Tech]],CAL[[#This Row],[Fleet check Driver logged in]],0)</f>
        <v>#N/A</v>
      </c>
      <c r="I244" s="2"/>
      <c r="J244" s="2"/>
      <c r="K244" s="2" t="e">
        <f>_xlfn.XLOOKUP(CAL[[#This Row],[Registration]],[1]Subscriptions!$A:$A,[1]Subscriptions!#REF!)</f>
        <v>#REF!</v>
      </c>
    </row>
    <row r="245" spans="1:11" x14ac:dyDescent="0.25">
      <c r="A245" s="2" t="s">
        <v>548</v>
      </c>
      <c r="B245" s="2">
        <v>116</v>
      </c>
      <c r="C245" s="2" t="s">
        <v>679</v>
      </c>
      <c r="D245" s="2" t="s">
        <v>552</v>
      </c>
      <c r="E245" s="2" t="s">
        <v>680</v>
      </c>
      <c r="F245" s="2" t="s">
        <v>15</v>
      </c>
      <c r="G245" s="2"/>
      <c r="H245" s="2" t="e">
        <f>_xlfn.XMATCH(CAL[[#This Row],[Allocated Tech]],CAL[[#This Row],[Fleet check Driver logged in]],0)</f>
        <v>#N/A</v>
      </c>
      <c r="I245" s="2"/>
      <c r="J245" s="2"/>
      <c r="K245" s="2" t="e">
        <f>_xlfn.XLOOKUP(CAL[[#This Row],[Registration]],[1]Subscriptions!$A:$A,[1]Subscriptions!#REF!)</f>
        <v>#REF!</v>
      </c>
    </row>
    <row r="246" spans="1:11" x14ac:dyDescent="0.25">
      <c r="A246" s="2" t="s">
        <v>548</v>
      </c>
      <c r="B246" s="2"/>
      <c r="C246" s="2" t="s">
        <v>681</v>
      </c>
      <c r="D246" s="2"/>
      <c r="E246" s="2"/>
      <c r="F246" s="2" t="s">
        <v>15</v>
      </c>
      <c r="G246" s="2"/>
      <c r="H246" s="2">
        <f>_xlfn.XMATCH(CAL[[#This Row],[Allocated Tech]],CAL[[#This Row],[Fleet check Driver logged in]],0)</f>
        <v>1</v>
      </c>
      <c r="I246" s="2"/>
      <c r="J246" s="2"/>
      <c r="K246" s="2" t="e">
        <f>_xlfn.XLOOKUP(CAL[[#This Row],[Registration]],[1]Subscriptions!$A:$A,[1]Subscriptions!#REF!)</f>
        <v>#REF!</v>
      </c>
    </row>
    <row r="247" spans="1:11" x14ac:dyDescent="0.25">
      <c r="A247" s="2" t="s">
        <v>548</v>
      </c>
      <c r="B247" s="2">
        <v>182</v>
      </c>
      <c r="C247" s="2" t="s">
        <v>682</v>
      </c>
      <c r="D247" s="2" t="s">
        <v>683</v>
      </c>
      <c r="E247" s="2" t="s">
        <v>684</v>
      </c>
      <c r="F247" s="2" t="s">
        <v>15</v>
      </c>
      <c r="G247" s="2"/>
      <c r="H247" s="2">
        <f>_xlfn.XMATCH(CAL[[#This Row],[Allocated Tech]],CAL[[#This Row],[Fleet check Driver logged in]],0)</f>
        <v>1</v>
      </c>
      <c r="I247" s="2"/>
      <c r="J247" s="2"/>
      <c r="K247" s="2" t="e">
        <f>_xlfn.XLOOKUP(CAL[[#This Row],[Registration]],[1]Subscriptions!$A:$A,[1]Subscriptions!#REF!)</f>
        <v>#REF!</v>
      </c>
    </row>
    <row r="248" spans="1:11" x14ac:dyDescent="0.25">
      <c r="A248" s="2" t="s">
        <v>548</v>
      </c>
      <c r="B248" s="2"/>
      <c r="C248" s="2" t="s">
        <v>685</v>
      </c>
      <c r="D248" s="2"/>
      <c r="E248" s="2"/>
      <c r="F248" s="2" t="s">
        <v>15</v>
      </c>
      <c r="G248" s="2"/>
      <c r="H248" s="2">
        <f>_xlfn.XMATCH(CAL[[#This Row],[Allocated Tech]],CAL[[#This Row],[Fleet check Driver logged in]],0)</f>
        <v>1</v>
      </c>
      <c r="I248" s="2"/>
      <c r="J248" s="2"/>
      <c r="K248" s="2" t="e">
        <f>_xlfn.XLOOKUP(CAL[[#This Row],[Registration]],[1]Subscriptions!$A:$A,[1]Subscriptions!#REF!)</f>
        <v>#REF!</v>
      </c>
    </row>
    <row r="249" spans="1:11" x14ac:dyDescent="0.25">
      <c r="A249" s="2" t="s">
        <v>548</v>
      </c>
      <c r="B249" s="2">
        <v>118</v>
      </c>
      <c r="C249" s="2" t="s">
        <v>686</v>
      </c>
      <c r="D249" s="2" t="s">
        <v>687</v>
      </c>
      <c r="E249" s="2" t="s">
        <v>659</v>
      </c>
      <c r="F249" s="2" t="s">
        <v>15</v>
      </c>
      <c r="G249" s="2"/>
      <c r="H249" s="2" t="e">
        <f>_xlfn.XMATCH(CAL[[#This Row],[Allocated Tech]],CAL[[#This Row],[Fleet check Driver logged in]],0)</f>
        <v>#N/A</v>
      </c>
      <c r="I249" s="2"/>
      <c r="J249" s="2"/>
      <c r="K249" s="2" t="e">
        <f>_xlfn.XLOOKUP(CAL[[#This Row],[Registration]],[1]Subscriptions!$A:$A,[1]Subscriptions!#REF!)</f>
        <v>#REF!</v>
      </c>
    </row>
    <row r="250" spans="1:11" x14ac:dyDescent="0.25">
      <c r="A250" s="2" t="s">
        <v>548</v>
      </c>
      <c r="B250" s="2"/>
      <c r="C250" s="2" t="s">
        <v>688</v>
      </c>
      <c r="D250" s="2"/>
      <c r="E250" s="2"/>
      <c r="F250" s="2" t="s">
        <v>15</v>
      </c>
      <c r="G250" s="2"/>
      <c r="H250" s="2">
        <f>_xlfn.XMATCH(CAL[[#This Row],[Allocated Tech]],CAL[[#This Row],[Fleet check Driver logged in]],0)</f>
        <v>1</v>
      </c>
      <c r="I250" s="2"/>
      <c r="J250" s="2"/>
      <c r="K250" s="2" t="e">
        <f>_xlfn.XLOOKUP(CAL[[#This Row],[Registration]],[1]Subscriptions!$A:$A,[1]Subscriptions!#REF!)</f>
        <v>#REF!</v>
      </c>
    </row>
    <row r="251" spans="1:11" x14ac:dyDescent="0.25">
      <c r="A251" s="2" t="s">
        <v>548</v>
      </c>
      <c r="B251" s="2"/>
      <c r="C251" s="2" t="s">
        <v>689</v>
      </c>
      <c r="D251" s="2"/>
      <c r="E251" s="2"/>
      <c r="F251" s="2" t="s">
        <v>15</v>
      </c>
      <c r="G251" s="2"/>
      <c r="H251" s="2">
        <f>_xlfn.XMATCH(CAL[[#This Row],[Allocated Tech]],CAL[[#This Row],[Fleet check Driver logged in]],0)</f>
        <v>1</v>
      </c>
      <c r="I251" s="2"/>
      <c r="J251" s="2"/>
      <c r="K251" s="2" t="e">
        <f>_xlfn.XLOOKUP(CAL[[#This Row],[Registration]],[1]Subscriptions!$A:$A,[1]Subscriptions!#REF!)</f>
        <v>#REF!</v>
      </c>
    </row>
    <row r="252" spans="1:11" x14ac:dyDescent="0.25">
      <c r="A252" s="2" t="s">
        <v>548</v>
      </c>
      <c r="B252" s="2">
        <v>197</v>
      </c>
      <c r="C252" s="2" t="s">
        <v>690</v>
      </c>
      <c r="D252" s="2" t="s">
        <v>691</v>
      </c>
      <c r="E252" s="2" t="s">
        <v>692</v>
      </c>
      <c r="F252" s="2" t="s">
        <v>15</v>
      </c>
      <c r="G252" s="2"/>
      <c r="H252" s="2">
        <f>_xlfn.XMATCH(CAL[[#This Row],[Allocated Tech]],CAL[[#This Row],[Fleet check Driver logged in]],0)</f>
        <v>1</v>
      </c>
      <c r="I252" s="2"/>
      <c r="J252" s="2"/>
      <c r="K252" s="2" t="e">
        <f>_xlfn.XLOOKUP(CAL[[#This Row],[Registration]],[1]Subscriptions!$A:$A,[1]Subscriptions!#REF!)</f>
        <v>#REF!</v>
      </c>
    </row>
    <row r="253" spans="1:11" x14ac:dyDescent="0.25">
      <c r="A253" s="2" t="s">
        <v>548</v>
      </c>
      <c r="B253" s="2">
        <v>805</v>
      </c>
      <c r="C253" s="2" t="s">
        <v>693</v>
      </c>
      <c r="D253" s="2" t="s">
        <v>694</v>
      </c>
      <c r="E253" s="2" t="s">
        <v>695</v>
      </c>
      <c r="F253" s="2" t="s">
        <v>15</v>
      </c>
      <c r="G253" s="2"/>
      <c r="H253" s="2">
        <f>_xlfn.XMATCH(CAL[[#This Row],[Allocated Tech]],CAL[[#This Row],[Fleet check Driver logged in]],0)</f>
        <v>1</v>
      </c>
      <c r="I253" s="2"/>
      <c r="J253" s="2"/>
      <c r="K253" s="2" t="e">
        <f>_xlfn.XLOOKUP(CAL[[#This Row],[Registration]],[1]Subscriptions!$A:$A,[1]Subscriptions!#REF!)</f>
        <v>#REF!</v>
      </c>
    </row>
    <row r="254" spans="1:11" x14ac:dyDescent="0.25">
      <c r="A254" s="2" t="s">
        <v>548</v>
      </c>
      <c r="B254" s="2">
        <v>617</v>
      </c>
      <c r="C254" s="2" t="s">
        <v>696</v>
      </c>
      <c r="D254" s="2" t="s">
        <v>552</v>
      </c>
      <c r="E254" s="2" t="s">
        <v>697</v>
      </c>
      <c r="F254" s="2" t="s">
        <v>15</v>
      </c>
      <c r="G254" s="2"/>
      <c r="H254" s="2" t="e">
        <f>_xlfn.XMATCH(CAL[[#This Row],[Allocated Tech]],CAL[[#This Row],[Fleet check Driver logged in]],0)</f>
        <v>#N/A</v>
      </c>
      <c r="I254" s="2"/>
      <c r="J254" s="2"/>
      <c r="K254" s="2" t="e">
        <f>_xlfn.XLOOKUP(CAL[[#This Row],[Registration]],[1]Subscriptions!$A:$A,[1]Subscriptions!#REF!)</f>
        <v>#REF!</v>
      </c>
    </row>
    <row r="255" spans="1:11" x14ac:dyDescent="0.25">
      <c r="A255" s="2" t="s">
        <v>548</v>
      </c>
      <c r="B255" s="2">
        <v>334</v>
      </c>
      <c r="C255" s="2" t="s">
        <v>698</v>
      </c>
      <c r="D255" s="2" t="s">
        <v>699</v>
      </c>
      <c r="E255" s="2" t="s">
        <v>700</v>
      </c>
      <c r="F255" s="2" t="s">
        <v>15</v>
      </c>
      <c r="G255" s="2"/>
      <c r="H255" s="2">
        <f>_xlfn.XMATCH(CAL[[#This Row],[Allocated Tech]],CAL[[#This Row],[Fleet check Driver logged in]],0)</f>
        <v>1</v>
      </c>
      <c r="I255" s="2"/>
      <c r="J255" s="2"/>
      <c r="K255" s="2" t="e">
        <f>_xlfn.XLOOKUP(CAL[[#This Row],[Registration]],[1]Subscriptions!$A:$A,[1]Subscriptions!#REF!)</f>
        <v>#REF!</v>
      </c>
    </row>
    <row r="256" spans="1:11" x14ac:dyDescent="0.25">
      <c r="A256" s="2" t="s">
        <v>548</v>
      </c>
      <c r="B256" s="2">
        <v>111</v>
      </c>
      <c r="C256" s="2" t="s">
        <v>701</v>
      </c>
      <c r="D256" s="2" t="s">
        <v>702</v>
      </c>
      <c r="E256" s="2" t="s">
        <v>703</v>
      </c>
      <c r="F256" s="2" t="s">
        <v>15</v>
      </c>
      <c r="G256" s="2"/>
      <c r="H256" s="2">
        <f>_xlfn.XMATCH(CAL[[#This Row],[Allocated Tech]],CAL[[#This Row],[Fleet check Driver logged in]],0)</f>
        <v>1</v>
      </c>
      <c r="I256" s="2"/>
      <c r="J256" s="2"/>
      <c r="K256" s="2" t="e">
        <f>_xlfn.XLOOKUP(CAL[[#This Row],[Registration]],[1]Subscriptions!$A:$A,[1]Subscriptions!#REF!)</f>
        <v>#REF!</v>
      </c>
    </row>
    <row r="257" spans="1:11" x14ac:dyDescent="0.25">
      <c r="A257" s="2" t="s">
        <v>548</v>
      </c>
      <c r="B257" s="2">
        <v>841</v>
      </c>
      <c r="C257" s="2" t="s">
        <v>704</v>
      </c>
      <c r="D257" s="2" t="s">
        <v>705</v>
      </c>
      <c r="E257" s="2" t="s">
        <v>706</v>
      </c>
      <c r="F257" s="2" t="s">
        <v>15</v>
      </c>
      <c r="G257" s="2"/>
      <c r="H257" s="2">
        <f>_xlfn.XMATCH(CAL[[#This Row],[Allocated Tech]],CAL[[#This Row],[Fleet check Driver logged in]],0)</f>
        <v>1</v>
      </c>
      <c r="I257" s="2"/>
      <c r="J257" s="2"/>
      <c r="K257" s="2" t="e">
        <f>_xlfn.XLOOKUP(CAL[[#This Row],[Registration]],[1]Subscriptions!$A:$A,[1]Subscriptions!#REF!)</f>
        <v>#REF!</v>
      </c>
    </row>
    <row r="258" spans="1:11" x14ac:dyDescent="0.25">
      <c r="A258" s="2" t="s">
        <v>548</v>
      </c>
      <c r="B258" s="2"/>
      <c r="C258" s="2" t="s">
        <v>707</v>
      </c>
      <c r="D258" s="2"/>
      <c r="E258" s="2"/>
      <c r="F258" s="2" t="s">
        <v>15</v>
      </c>
      <c r="G258" s="2"/>
      <c r="H258" s="2">
        <f>_xlfn.XMATCH(CAL[[#This Row],[Allocated Tech]],CAL[[#This Row],[Fleet check Driver logged in]],0)</f>
        <v>1</v>
      </c>
      <c r="I258" s="2"/>
      <c r="J258" s="2"/>
      <c r="K258" s="2" t="e">
        <f>_xlfn.XLOOKUP(CAL[[#This Row],[Registration]],[1]Subscriptions!$A:$A,[1]Subscriptions!#REF!)</f>
        <v>#REF!</v>
      </c>
    </row>
    <row r="259" spans="1:11" x14ac:dyDescent="0.25">
      <c r="A259" s="2" t="s">
        <v>548</v>
      </c>
      <c r="B259" s="2">
        <v>860</v>
      </c>
      <c r="C259" s="2" t="s">
        <v>708</v>
      </c>
      <c r="D259" s="2" t="s">
        <v>709</v>
      </c>
      <c r="E259" s="2"/>
      <c r="F259" s="2" t="s">
        <v>15</v>
      </c>
      <c r="G259" s="2"/>
      <c r="H259" s="2" t="e">
        <f>_xlfn.XMATCH(CAL[[#This Row],[Allocated Tech]],CAL[[#This Row],[Fleet check Driver logged in]],0)</f>
        <v>#N/A</v>
      </c>
      <c r="I259" s="2"/>
      <c r="J259" s="2"/>
      <c r="K259" s="2" t="e">
        <f>_xlfn.XLOOKUP(CAL[[#This Row],[Registration]],[1]Subscriptions!$A:$A,[1]Subscriptions!#REF!)</f>
        <v>#REF!</v>
      </c>
    </row>
    <row r="260" spans="1:11" x14ac:dyDescent="0.25">
      <c r="A260" s="2"/>
      <c r="B260" s="2">
        <v>120</v>
      </c>
      <c r="C260" s="2" t="s">
        <v>710</v>
      </c>
      <c r="D260" s="2" t="s">
        <v>552</v>
      </c>
      <c r="E260" s="2" t="s">
        <v>711</v>
      </c>
      <c r="F260" s="2" t="s">
        <v>15</v>
      </c>
      <c r="G260" s="2"/>
      <c r="H260" s="2" t="e">
        <f>_xlfn.XMATCH(CAL[[#This Row],[Allocated Tech]],CAL[[#This Row],[Fleet check Driver logged in]],0)</f>
        <v>#N/A</v>
      </c>
      <c r="I260" s="2"/>
      <c r="J260" s="2"/>
      <c r="K260" s="2" t="e">
        <f>_xlfn.XLOOKUP(CAL[[#This Row],[Registration]],[1]Subscriptions!$A:$A,[1]Subscriptions!#REF!)</f>
        <v>#REF!</v>
      </c>
    </row>
  </sheetData>
  <phoneticPr fontId="2" type="noConversion"/>
  <conditionalFormatting sqref="B2:F260">
    <cfRule type="expression" dxfId="0" priority="5">
      <formula>$F2="VOR"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C8A7-3477-4EE5-800E-A6BCA7950208}">
  <sheetPr filterMode="1"/>
  <dimension ref="A1:DU29"/>
  <sheetViews>
    <sheetView zoomScale="80" zoomScaleNormal="80" workbookViewId="0">
      <selection activeCell="C37" sqref="C37"/>
    </sheetView>
  </sheetViews>
  <sheetFormatPr defaultRowHeight="17.45" customHeight="1" x14ac:dyDescent="0.25"/>
  <cols>
    <col min="1" max="1" width="25.5703125" customWidth="1"/>
    <col min="2" max="2" width="14.42578125" bestFit="1" customWidth="1"/>
    <col min="3" max="3" width="25.7109375" bestFit="1" customWidth="1"/>
    <col min="4" max="4" width="21.42578125" bestFit="1" customWidth="1"/>
    <col min="5" max="5" width="25.42578125" bestFit="1" customWidth="1"/>
    <col min="6" max="6" width="16.140625" customWidth="1"/>
    <col min="7" max="7" width="10.140625" customWidth="1"/>
    <col min="8" max="8" width="10.42578125" bestFit="1" customWidth="1"/>
    <col min="9" max="9" width="9.5703125" bestFit="1" customWidth="1"/>
    <col min="10" max="10" width="151.42578125" bestFit="1" customWidth="1"/>
    <col min="11" max="11" width="82.140625" bestFit="1" customWidth="1"/>
  </cols>
  <sheetData>
    <row r="1" spans="1:125" s="21" customFormat="1" ht="17.45" customHeight="1" x14ac:dyDescent="0.25">
      <c r="A1" s="22" t="s">
        <v>712</v>
      </c>
      <c r="B1" s="22" t="s">
        <v>713</v>
      </c>
      <c r="C1" s="22" t="s">
        <v>714</v>
      </c>
      <c r="D1" s="22" t="s">
        <v>715</v>
      </c>
      <c r="E1" s="22" t="s">
        <v>716</v>
      </c>
      <c r="F1" s="22" t="s">
        <v>717</v>
      </c>
      <c r="G1" s="22" t="s">
        <v>718</v>
      </c>
      <c r="H1" s="22" t="s">
        <v>719</v>
      </c>
      <c r="I1" s="22" t="s">
        <v>720</v>
      </c>
      <c r="J1" s="22" t="s">
        <v>721</v>
      </c>
      <c r="K1" s="22"/>
    </row>
    <row r="2" spans="1:125" ht="17.45" customHeight="1" x14ac:dyDescent="0.25">
      <c r="A2" s="10" t="s">
        <v>548</v>
      </c>
      <c r="B2" s="10" t="s">
        <v>722</v>
      </c>
      <c r="C2" s="10" t="s">
        <v>723</v>
      </c>
      <c r="D2" s="10" t="s">
        <v>724</v>
      </c>
      <c r="E2" s="10" t="s">
        <v>725</v>
      </c>
      <c r="F2" s="11">
        <v>46055</v>
      </c>
      <c r="G2" s="10" t="s">
        <v>726</v>
      </c>
      <c r="H2" s="9"/>
      <c r="I2" s="19"/>
      <c r="J2" s="18" t="s">
        <v>727</v>
      </c>
      <c r="K2" s="6" t="s">
        <v>728</v>
      </c>
    </row>
    <row r="3" spans="1:125" ht="17.45" customHeight="1" x14ac:dyDescent="0.25">
      <c r="A3" s="10" t="s">
        <v>548</v>
      </c>
      <c r="B3" s="10" t="s">
        <v>729</v>
      </c>
      <c r="C3" s="10" t="s">
        <v>723</v>
      </c>
      <c r="D3" s="10" t="s">
        <v>730</v>
      </c>
      <c r="E3" s="10" t="s">
        <v>731</v>
      </c>
      <c r="F3" s="11">
        <v>46153</v>
      </c>
      <c r="G3" s="10" t="s">
        <v>726</v>
      </c>
      <c r="H3" s="9"/>
      <c r="I3" s="19"/>
      <c r="J3" s="18" t="s">
        <v>732</v>
      </c>
      <c r="K3" s="6" t="s">
        <v>733</v>
      </c>
    </row>
    <row r="4" spans="1:125" ht="17.45" customHeight="1" x14ac:dyDescent="0.25">
      <c r="A4" s="10" t="s">
        <v>548</v>
      </c>
      <c r="B4" s="10" t="s">
        <v>734</v>
      </c>
      <c r="C4" s="10" t="s">
        <v>723</v>
      </c>
      <c r="D4" s="10" t="s">
        <v>724</v>
      </c>
      <c r="E4" s="10" t="s">
        <v>735</v>
      </c>
      <c r="F4" s="11">
        <v>46157</v>
      </c>
      <c r="G4" s="10" t="s">
        <v>726</v>
      </c>
      <c r="H4" s="9"/>
      <c r="I4" s="19"/>
      <c r="J4" s="10" t="s">
        <v>736</v>
      </c>
      <c r="K4" s="6" t="s">
        <v>737</v>
      </c>
    </row>
    <row r="5" spans="1:125" s="20" customFormat="1" ht="17.45" customHeight="1" x14ac:dyDescent="0.25">
      <c r="A5" s="10" t="s">
        <v>276</v>
      </c>
      <c r="B5" s="10" t="s">
        <v>738</v>
      </c>
      <c r="C5" s="10" t="s">
        <v>723</v>
      </c>
      <c r="D5" s="10" t="s">
        <v>730</v>
      </c>
      <c r="E5" s="10" t="s">
        <v>739</v>
      </c>
      <c r="F5" s="11">
        <v>46071</v>
      </c>
      <c r="G5" s="10" t="s">
        <v>726</v>
      </c>
      <c r="H5" s="9"/>
      <c r="I5" s="19"/>
      <c r="J5" s="10" t="s">
        <v>736</v>
      </c>
      <c r="K5" s="16" t="s">
        <v>740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</row>
    <row r="6" spans="1:125" ht="17.45" customHeight="1" x14ac:dyDescent="0.25">
      <c r="A6" s="10" t="s">
        <v>276</v>
      </c>
      <c r="B6" s="10" t="s">
        <v>741</v>
      </c>
      <c r="C6" s="10" t="s">
        <v>723</v>
      </c>
      <c r="D6" s="10" t="s">
        <v>730</v>
      </c>
      <c r="E6" s="10" t="s">
        <v>742</v>
      </c>
      <c r="F6" s="11">
        <v>46156</v>
      </c>
      <c r="G6" s="10" t="s">
        <v>743</v>
      </c>
      <c r="H6" s="9"/>
      <c r="I6" s="8"/>
      <c r="J6" s="18" t="s">
        <v>744</v>
      </c>
      <c r="K6" s="16"/>
    </row>
    <row r="7" spans="1:125" ht="17.45" customHeight="1" x14ac:dyDescent="0.25">
      <c r="A7" s="10" t="s">
        <v>276</v>
      </c>
      <c r="B7" s="10" t="s">
        <v>745</v>
      </c>
      <c r="C7" s="10" t="s">
        <v>723</v>
      </c>
      <c r="D7" s="10" t="s">
        <v>724</v>
      </c>
      <c r="E7" s="10" t="s">
        <v>746</v>
      </c>
      <c r="F7" s="11">
        <v>46156</v>
      </c>
      <c r="G7" s="10" t="s">
        <v>726</v>
      </c>
      <c r="H7" s="9"/>
      <c r="I7" s="8"/>
      <c r="J7" s="10" t="s">
        <v>736</v>
      </c>
      <c r="K7" s="16" t="s">
        <v>747</v>
      </c>
    </row>
    <row r="8" spans="1:125" ht="17.45" customHeight="1" x14ac:dyDescent="0.25">
      <c r="A8" s="10" t="s">
        <v>276</v>
      </c>
      <c r="B8" s="10" t="s">
        <v>748</v>
      </c>
      <c r="C8" s="10" t="s">
        <v>723</v>
      </c>
      <c r="D8" s="10" t="s">
        <v>724</v>
      </c>
      <c r="E8" s="10" t="s">
        <v>749</v>
      </c>
      <c r="F8" s="11">
        <v>46156</v>
      </c>
      <c r="G8" s="10" t="s">
        <v>726</v>
      </c>
      <c r="H8" s="9"/>
      <c r="I8" s="8"/>
      <c r="J8" s="10" t="s">
        <v>736</v>
      </c>
      <c r="K8" s="16" t="s">
        <v>750</v>
      </c>
    </row>
    <row r="9" spans="1:125" ht="17.45" customHeight="1" x14ac:dyDescent="0.25">
      <c r="A9" s="10" t="s">
        <v>276</v>
      </c>
      <c r="B9" s="10" t="s">
        <v>751</v>
      </c>
      <c r="C9" s="10" t="s">
        <v>723</v>
      </c>
      <c r="D9" s="10" t="s">
        <v>724</v>
      </c>
      <c r="E9" s="10" t="s">
        <v>752</v>
      </c>
      <c r="F9" s="11">
        <v>46156</v>
      </c>
      <c r="G9" s="10" t="s">
        <v>726</v>
      </c>
      <c r="H9" s="9"/>
      <c r="I9" s="8"/>
      <c r="J9" s="10" t="s">
        <v>736</v>
      </c>
      <c r="K9" s="16" t="s">
        <v>753</v>
      </c>
    </row>
    <row r="10" spans="1:125" ht="17.45" customHeight="1" x14ac:dyDescent="0.25">
      <c r="A10" s="10" t="s">
        <v>276</v>
      </c>
      <c r="B10" s="10" t="s">
        <v>754</v>
      </c>
      <c r="C10" s="10" t="s">
        <v>723</v>
      </c>
      <c r="D10" s="10" t="s">
        <v>730</v>
      </c>
      <c r="E10" s="10" t="s">
        <v>755</v>
      </c>
      <c r="F10" s="11">
        <v>46142</v>
      </c>
      <c r="G10" s="10" t="s">
        <v>743</v>
      </c>
      <c r="H10" s="9"/>
      <c r="I10" s="19"/>
      <c r="J10" s="18" t="s">
        <v>756</v>
      </c>
      <c r="K10" s="16"/>
    </row>
    <row r="11" spans="1:125" ht="17.45" customHeight="1" x14ac:dyDescent="0.25">
      <c r="A11" s="10" t="s">
        <v>35</v>
      </c>
      <c r="B11" s="10" t="s">
        <v>757</v>
      </c>
      <c r="C11" s="10" t="s">
        <v>723</v>
      </c>
      <c r="D11" s="10" t="s">
        <v>724</v>
      </c>
      <c r="E11" s="10" t="s">
        <v>758</v>
      </c>
      <c r="F11" s="11">
        <v>45987</v>
      </c>
      <c r="G11" s="10" t="s">
        <v>726</v>
      </c>
      <c r="H11" s="9"/>
      <c r="I11" s="8"/>
      <c r="J11" s="7" t="s">
        <v>736</v>
      </c>
      <c r="K11" s="16" t="s">
        <v>759</v>
      </c>
    </row>
    <row r="12" spans="1:125" ht="17.45" customHeight="1" x14ac:dyDescent="0.25">
      <c r="A12" s="10" t="s">
        <v>35</v>
      </c>
      <c r="B12" s="10" t="s">
        <v>760</v>
      </c>
      <c r="C12" s="10" t="s">
        <v>723</v>
      </c>
      <c r="D12" s="10" t="s">
        <v>761</v>
      </c>
      <c r="E12" s="10" t="s">
        <v>762</v>
      </c>
      <c r="F12" s="11">
        <v>46071</v>
      </c>
      <c r="G12" s="10" t="s">
        <v>726</v>
      </c>
      <c r="H12" s="9"/>
      <c r="I12" s="8"/>
      <c r="J12" s="17" t="s">
        <v>736</v>
      </c>
      <c r="K12" s="16" t="s">
        <v>763</v>
      </c>
    </row>
    <row r="13" spans="1:125" ht="17.45" customHeight="1" x14ac:dyDescent="0.25">
      <c r="A13" s="10" t="s">
        <v>35</v>
      </c>
      <c r="B13" s="10" t="s">
        <v>764</v>
      </c>
      <c r="C13" s="10" t="s">
        <v>723</v>
      </c>
      <c r="D13" s="10" t="s">
        <v>730</v>
      </c>
      <c r="E13" s="10" t="s">
        <v>765</v>
      </c>
      <c r="F13" s="11">
        <v>46070</v>
      </c>
      <c r="G13" s="10" t="s">
        <v>726</v>
      </c>
      <c r="H13" s="9"/>
      <c r="I13" s="8"/>
      <c r="J13" s="17" t="s">
        <v>736</v>
      </c>
      <c r="K13" s="16" t="s">
        <v>766</v>
      </c>
    </row>
    <row r="14" spans="1:125" ht="17.45" customHeight="1" x14ac:dyDescent="0.25">
      <c r="A14" s="10" t="s">
        <v>35</v>
      </c>
      <c r="B14" s="10" t="s">
        <v>767</v>
      </c>
      <c r="C14" s="10" t="s">
        <v>723</v>
      </c>
      <c r="D14" s="10" t="s">
        <v>730</v>
      </c>
      <c r="E14" s="10" t="s">
        <v>768</v>
      </c>
      <c r="F14" s="11">
        <v>46148</v>
      </c>
      <c r="G14" s="10" t="s">
        <v>743</v>
      </c>
      <c r="H14" s="9"/>
      <c r="I14" s="8"/>
      <c r="J14" s="12" t="s">
        <v>769</v>
      </c>
      <c r="K14" s="16" t="s">
        <v>770</v>
      </c>
    </row>
    <row r="15" spans="1:125" ht="17.45" customHeight="1" x14ac:dyDescent="0.25">
      <c r="A15" s="10" t="s">
        <v>35</v>
      </c>
      <c r="B15" s="10" t="s">
        <v>771</v>
      </c>
      <c r="C15" s="10" t="s">
        <v>723</v>
      </c>
      <c r="D15" s="10" t="s">
        <v>724</v>
      </c>
      <c r="E15" s="10" t="s">
        <v>772</v>
      </c>
      <c r="F15" s="11">
        <v>46139</v>
      </c>
      <c r="G15" s="10" t="s">
        <v>726</v>
      </c>
      <c r="H15" s="9"/>
      <c r="I15" s="8"/>
      <c r="J15" s="7" t="s">
        <v>736</v>
      </c>
      <c r="K15" s="16" t="s">
        <v>773</v>
      </c>
    </row>
    <row r="16" spans="1:125" ht="17.45" customHeight="1" x14ac:dyDescent="0.25">
      <c r="A16" s="10" t="s">
        <v>35</v>
      </c>
      <c r="B16" s="10" t="s">
        <v>774</v>
      </c>
      <c r="C16" s="10" t="s">
        <v>723</v>
      </c>
      <c r="D16" s="10" t="s">
        <v>730</v>
      </c>
      <c r="E16" s="10" t="s">
        <v>775</v>
      </c>
      <c r="F16" s="11">
        <v>46090</v>
      </c>
      <c r="G16" s="10" t="s">
        <v>726</v>
      </c>
      <c r="H16" s="9"/>
      <c r="I16" s="8"/>
      <c r="J16" s="12" t="s">
        <v>727</v>
      </c>
      <c r="K16" s="16" t="s">
        <v>776</v>
      </c>
    </row>
    <row r="17" spans="1:11" ht="17.45" customHeight="1" x14ac:dyDescent="0.25">
      <c r="A17" s="10" t="s">
        <v>415</v>
      </c>
      <c r="B17" s="10" t="s">
        <v>777</v>
      </c>
      <c r="C17" s="10" t="s">
        <v>723</v>
      </c>
      <c r="D17" s="10" t="s">
        <v>724</v>
      </c>
      <c r="E17" s="10" t="s">
        <v>778</v>
      </c>
      <c r="F17" s="11">
        <v>46111</v>
      </c>
      <c r="G17" s="10" t="s">
        <v>726</v>
      </c>
      <c r="H17" s="9"/>
      <c r="I17" s="8"/>
      <c r="J17" s="7" t="s">
        <v>736</v>
      </c>
      <c r="K17" s="6" t="s">
        <v>779</v>
      </c>
    </row>
    <row r="18" spans="1:11" ht="17.45" customHeight="1" x14ac:dyDescent="0.25">
      <c r="A18" s="10" t="s">
        <v>415</v>
      </c>
      <c r="B18" s="10" t="s">
        <v>780</v>
      </c>
      <c r="C18" s="10" t="s">
        <v>723</v>
      </c>
      <c r="D18" s="10" t="s">
        <v>730</v>
      </c>
      <c r="E18" s="10" t="s">
        <v>781</v>
      </c>
      <c r="F18" s="11">
        <v>46111</v>
      </c>
      <c r="G18" s="10" t="s">
        <v>726</v>
      </c>
      <c r="H18" s="9"/>
      <c r="I18" s="8"/>
      <c r="J18" s="7" t="s">
        <v>736</v>
      </c>
      <c r="K18" s="6" t="s">
        <v>782</v>
      </c>
    </row>
    <row r="19" spans="1:11" ht="17.45" customHeight="1" x14ac:dyDescent="0.25">
      <c r="A19" s="10" t="s">
        <v>415</v>
      </c>
      <c r="B19" s="15" t="s">
        <v>783</v>
      </c>
      <c r="C19" s="15" t="s">
        <v>723</v>
      </c>
      <c r="D19" s="15" t="s">
        <v>730</v>
      </c>
      <c r="E19" s="15" t="s">
        <v>784</v>
      </c>
      <c r="F19" s="11">
        <v>46129</v>
      </c>
      <c r="G19" s="10" t="s">
        <v>726</v>
      </c>
      <c r="H19" s="14"/>
      <c r="I19" s="13"/>
      <c r="J19" s="7" t="s">
        <v>736</v>
      </c>
      <c r="K19" s="6" t="s">
        <v>785</v>
      </c>
    </row>
    <row r="20" spans="1:11" ht="17.45" customHeight="1" x14ac:dyDescent="0.25">
      <c r="A20" s="10" t="s">
        <v>415</v>
      </c>
      <c r="B20" s="10" t="s">
        <v>786</v>
      </c>
      <c r="C20" s="10" t="s">
        <v>723</v>
      </c>
      <c r="D20" s="10" t="s">
        <v>730</v>
      </c>
      <c r="E20" s="10" t="s">
        <v>787</v>
      </c>
      <c r="F20" s="11">
        <v>46021</v>
      </c>
      <c r="G20" s="10" t="s">
        <v>743</v>
      </c>
      <c r="H20" s="9"/>
      <c r="I20" s="8"/>
      <c r="J20" s="12" t="s">
        <v>788</v>
      </c>
      <c r="K20" s="6" t="s">
        <v>789</v>
      </c>
    </row>
    <row r="21" spans="1:11" ht="17.45" customHeight="1" x14ac:dyDescent="0.25">
      <c r="A21" s="10" t="s">
        <v>415</v>
      </c>
      <c r="B21" s="15" t="s">
        <v>790</v>
      </c>
      <c r="C21" s="15" t="s">
        <v>723</v>
      </c>
      <c r="D21" s="15" t="s">
        <v>791</v>
      </c>
      <c r="E21" s="15" t="s">
        <v>792</v>
      </c>
      <c r="F21" s="11">
        <v>46149</v>
      </c>
      <c r="G21" s="10" t="s">
        <v>743</v>
      </c>
      <c r="H21" s="14"/>
      <c r="I21" s="13"/>
      <c r="J21" s="12" t="s">
        <v>793</v>
      </c>
      <c r="K21" s="6" t="s">
        <v>794</v>
      </c>
    </row>
    <row r="22" spans="1:11" ht="17.45" customHeight="1" x14ac:dyDescent="0.25">
      <c r="A22" s="10" t="s">
        <v>11</v>
      </c>
      <c r="B22" s="10" t="s">
        <v>795</v>
      </c>
      <c r="C22" s="10" t="s">
        <v>723</v>
      </c>
      <c r="D22" s="10" t="s">
        <v>730</v>
      </c>
      <c r="E22" s="10" t="s">
        <v>796</v>
      </c>
      <c r="F22" s="11">
        <v>46008</v>
      </c>
      <c r="G22" s="10" t="s">
        <v>743</v>
      </c>
      <c r="H22" s="9"/>
      <c r="I22" s="8"/>
      <c r="J22" s="12" t="s">
        <v>797</v>
      </c>
      <c r="K22" s="6"/>
    </row>
    <row r="23" spans="1:11" ht="17.45" customHeight="1" x14ac:dyDescent="0.25">
      <c r="A23" s="10" t="s">
        <v>11</v>
      </c>
      <c r="B23" s="10" t="s">
        <v>798</v>
      </c>
      <c r="C23" s="10" t="s">
        <v>723</v>
      </c>
      <c r="D23" s="10" t="s">
        <v>730</v>
      </c>
      <c r="E23" s="10" t="s">
        <v>799</v>
      </c>
      <c r="F23" s="11">
        <v>46142</v>
      </c>
      <c r="G23" s="10" t="s">
        <v>726</v>
      </c>
      <c r="H23" s="9"/>
      <c r="I23" s="8"/>
      <c r="J23" s="7" t="s">
        <v>736</v>
      </c>
      <c r="K23" s="6" t="s">
        <v>800</v>
      </c>
    </row>
    <row r="24" spans="1:11" ht="17.45" customHeight="1" x14ac:dyDescent="0.25">
      <c r="A24" s="10" t="s">
        <v>11</v>
      </c>
      <c r="B24" s="10" t="s">
        <v>801</v>
      </c>
      <c r="C24" s="10" t="s">
        <v>723</v>
      </c>
      <c r="D24" s="10" t="s">
        <v>730</v>
      </c>
      <c r="E24" s="10" t="s">
        <v>802</v>
      </c>
      <c r="F24" s="11">
        <v>46111</v>
      </c>
      <c r="G24" s="10" t="s">
        <v>726</v>
      </c>
      <c r="H24" s="9"/>
      <c r="I24" s="8"/>
      <c r="J24" s="7" t="s">
        <v>736</v>
      </c>
      <c r="K24" s="6"/>
    </row>
    <row r="25" spans="1:11" ht="17.45" customHeight="1" x14ac:dyDescent="0.25">
      <c r="F25" s="1"/>
      <c r="H25" s="4"/>
      <c r="I25" s="3"/>
      <c r="K25" s="5"/>
    </row>
    <row r="26" spans="1:11" ht="17.45" customHeight="1" x14ac:dyDescent="0.25">
      <c r="F26" s="1"/>
      <c r="H26" s="4"/>
      <c r="I26" s="3"/>
      <c r="K26" s="5"/>
    </row>
    <row r="27" spans="1:11" ht="17.45" customHeight="1" x14ac:dyDescent="0.25">
      <c r="F27" s="1"/>
      <c r="H27" s="4"/>
      <c r="I27" s="3"/>
      <c r="K27" s="5"/>
    </row>
    <row r="28" spans="1:11" ht="17.45" customHeight="1" x14ac:dyDescent="0.25">
      <c r="F28" s="1"/>
      <c r="H28" s="4"/>
      <c r="I28" s="3"/>
    </row>
    <row r="29" spans="1:11" ht="17.45" customHeight="1" x14ac:dyDescent="0.25">
      <c r="C29" t="s">
        <v>803</v>
      </c>
    </row>
  </sheetData>
  <autoFilter ref="A1:K24" xr:uid="{221080A2-FC72-48F9-B80F-4C09F515A3EB}">
    <filterColumn colId="2">
      <colorFilter dxfId="4"/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F327-D361-4087-B169-504B11966340}">
  <dimension ref="A1:C245"/>
  <sheetViews>
    <sheetView workbookViewId="0">
      <selection activeCell="E36" sqref="E36"/>
    </sheetView>
  </sheetViews>
  <sheetFormatPr defaultRowHeight="15" x14ac:dyDescent="0.25"/>
  <cols>
    <col min="1" max="1" width="20.85546875" bestFit="1" customWidth="1"/>
    <col min="2" max="2" width="9.5703125" bestFit="1" customWidth="1"/>
    <col min="3" max="3" width="20.85546875" customWidth="1"/>
    <col min="4" max="4" width="12.5703125" bestFit="1" customWidth="1"/>
    <col min="5" max="5" width="20.85546875" bestFit="1" customWidth="1"/>
  </cols>
  <sheetData>
    <row r="1" spans="1:3" x14ac:dyDescent="0.25">
      <c r="A1" t="s">
        <v>804</v>
      </c>
      <c r="B1" t="s">
        <v>805</v>
      </c>
      <c r="C1" t="s">
        <v>806</v>
      </c>
    </row>
    <row r="2" spans="1:3" x14ac:dyDescent="0.25">
      <c r="A2" t="s">
        <v>807</v>
      </c>
      <c r="B2" t="s">
        <v>674</v>
      </c>
      <c r="C2" t="s">
        <v>675</v>
      </c>
    </row>
    <row r="3" spans="1:3" x14ac:dyDescent="0.25">
      <c r="A3" t="s">
        <v>807</v>
      </c>
      <c r="B3" t="s">
        <v>39</v>
      </c>
      <c r="C3" t="s">
        <v>41</v>
      </c>
    </row>
    <row r="4" spans="1:3" x14ac:dyDescent="0.25">
      <c r="A4" t="s">
        <v>807</v>
      </c>
      <c r="B4" t="s">
        <v>663</v>
      </c>
      <c r="C4" t="s">
        <v>665</v>
      </c>
    </row>
    <row r="5" spans="1:3" x14ac:dyDescent="0.25">
      <c r="A5" t="s">
        <v>807</v>
      </c>
      <c r="B5" t="s">
        <v>676</v>
      </c>
      <c r="C5" t="s">
        <v>678</v>
      </c>
    </row>
    <row r="6" spans="1:3" x14ac:dyDescent="0.25">
      <c r="A6" t="s">
        <v>807</v>
      </c>
      <c r="B6" t="s">
        <v>651</v>
      </c>
      <c r="C6" t="s">
        <v>653</v>
      </c>
    </row>
    <row r="7" spans="1:3" x14ac:dyDescent="0.25">
      <c r="A7" t="s">
        <v>807</v>
      </c>
      <c r="B7" t="s">
        <v>45</v>
      </c>
      <c r="C7" t="s">
        <v>47</v>
      </c>
    </row>
    <row r="8" spans="1:3" x14ac:dyDescent="0.25">
      <c r="A8" t="s">
        <v>807</v>
      </c>
      <c r="B8" t="s">
        <v>79</v>
      </c>
      <c r="C8" t="s">
        <v>81</v>
      </c>
    </row>
    <row r="9" spans="1:3" x14ac:dyDescent="0.25">
      <c r="A9" t="s">
        <v>807</v>
      </c>
      <c r="B9" t="s">
        <v>654</v>
      </c>
      <c r="C9" t="s">
        <v>656</v>
      </c>
    </row>
    <row r="10" spans="1:3" x14ac:dyDescent="0.25">
      <c r="A10" t="s">
        <v>807</v>
      </c>
      <c r="B10" t="s">
        <v>701</v>
      </c>
      <c r="C10" t="s">
        <v>703</v>
      </c>
    </row>
    <row r="11" spans="1:3" x14ac:dyDescent="0.25">
      <c r="A11" t="s">
        <v>807</v>
      </c>
      <c r="B11" t="s">
        <v>403</v>
      </c>
      <c r="C11" t="s">
        <v>405</v>
      </c>
    </row>
    <row r="12" spans="1:3" x14ac:dyDescent="0.25">
      <c r="A12" t="s">
        <v>807</v>
      </c>
      <c r="B12" t="s">
        <v>693</v>
      </c>
      <c r="C12" t="s">
        <v>695</v>
      </c>
    </row>
    <row r="13" spans="1:3" x14ac:dyDescent="0.25">
      <c r="A13" t="s">
        <v>807</v>
      </c>
      <c r="B13" t="s">
        <v>698</v>
      </c>
      <c r="C13" t="s">
        <v>700</v>
      </c>
    </row>
    <row r="14" spans="1:3" x14ac:dyDescent="0.25">
      <c r="A14" t="s">
        <v>807</v>
      </c>
      <c r="B14" t="s">
        <v>708</v>
      </c>
    </row>
    <row r="15" spans="1:3" x14ac:dyDescent="0.25">
      <c r="A15" t="s">
        <v>807</v>
      </c>
      <c r="B15" t="s">
        <v>690</v>
      </c>
      <c r="C15" t="s">
        <v>692</v>
      </c>
    </row>
    <row r="16" spans="1:3" x14ac:dyDescent="0.25">
      <c r="A16" t="s">
        <v>807</v>
      </c>
      <c r="B16" t="s">
        <v>682</v>
      </c>
      <c r="C16" t="s">
        <v>684</v>
      </c>
    </row>
    <row r="17" spans="1:3" x14ac:dyDescent="0.25">
      <c r="A17" t="s">
        <v>807</v>
      </c>
      <c r="B17" t="s">
        <v>643</v>
      </c>
      <c r="C17" t="s">
        <v>644</v>
      </c>
    </row>
    <row r="18" spans="1:3" x14ac:dyDescent="0.25">
      <c r="A18" t="s">
        <v>807</v>
      </c>
      <c r="B18" t="s">
        <v>635</v>
      </c>
      <c r="C18" t="s">
        <v>637</v>
      </c>
    </row>
    <row r="19" spans="1:3" x14ac:dyDescent="0.25">
      <c r="A19" t="s">
        <v>807</v>
      </c>
      <c r="B19" t="s">
        <v>553</v>
      </c>
      <c r="C19" t="s">
        <v>555</v>
      </c>
    </row>
    <row r="20" spans="1:3" x14ac:dyDescent="0.25">
      <c r="A20" t="s">
        <v>807</v>
      </c>
      <c r="B20" t="s">
        <v>559</v>
      </c>
      <c r="C20" t="s">
        <v>561</v>
      </c>
    </row>
    <row r="21" spans="1:3" x14ac:dyDescent="0.25">
      <c r="A21" t="s">
        <v>807</v>
      </c>
      <c r="B21" t="s">
        <v>564</v>
      </c>
      <c r="C21" t="s">
        <v>566</v>
      </c>
    </row>
    <row r="22" spans="1:3" x14ac:dyDescent="0.25">
      <c r="A22" t="s">
        <v>807</v>
      </c>
      <c r="B22" t="s">
        <v>567</v>
      </c>
      <c r="C22" t="s">
        <v>569</v>
      </c>
    </row>
    <row r="23" spans="1:3" x14ac:dyDescent="0.25">
      <c r="A23" t="s">
        <v>807</v>
      </c>
      <c r="B23" t="s">
        <v>573</v>
      </c>
      <c r="C23" t="s">
        <v>575</v>
      </c>
    </row>
    <row r="24" spans="1:3" x14ac:dyDescent="0.25">
      <c r="A24" t="s">
        <v>807</v>
      </c>
      <c r="B24" t="s">
        <v>576</v>
      </c>
      <c r="C24" t="s">
        <v>578</v>
      </c>
    </row>
    <row r="25" spans="1:3" x14ac:dyDescent="0.25">
      <c r="A25" t="s">
        <v>807</v>
      </c>
      <c r="B25" t="s">
        <v>581</v>
      </c>
      <c r="C25" t="s">
        <v>583</v>
      </c>
    </row>
    <row r="26" spans="1:3" x14ac:dyDescent="0.25">
      <c r="A26" t="s">
        <v>807</v>
      </c>
      <c r="B26" t="s">
        <v>584</v>
      </c>
      <c r="C26" t="s">
        <v>586</v>
      </c>
    </row>
    <row r="27" spans="1:3" x14ac:dyDescent="0.25">
      <c r="A27" t="s">
        <v>807</v>
      </c>
      <c r="B27" t="s">
        <v>590</v>
      </c>
      <c r="C27" t="s">
        <v>592</v>
      </c>
    </row>
    <row r="28" spans="1:3" x14ac:dyDescent="0.25">
      <c r="A28" t="s">
        <v>807</v>
      </c>
      <c r="B28" t="s">
        <v>593</v>
      </c>
      <c r="C28" t="s">
        <v>595</v>
      </c>
    </row>
    <row r="29" spans="1:3" x14ac:dyDescent="0.25">
      <c r="A29" t="s">
        <v>807</v>
      </c>
      <c r="B29" t="s">
        <v>596</v>
      </c>
      <c r="C29" t="s">
        <v>598</v>
      </c>
    </row>
    <row r="30" spans="1:3" x14ac:dyDescent="0.25">
      <c r="A30" t="s">
        <v>807</v>
      </c>
      <c r="B30" t="s">
        <v>602</v>
      </c>
      <c r="C30" t="s">
        <v>604</v>
      </c>
    </row>
    <row r="31" spans="1:3" x14ac:dyDescent="0.25">
      <c r="A31" t="s">
        <v>807</v>
      </c>
      <c r="B31" t="s">
        <v>605</v>
      </c>
      <c r="C31" t="s">
        <v>607</v>
      </c>
    </row>
    <row r="32" spans="1:3" x14ac:dyDescent="0.25">
      <c r="A32" t="s">
        <v>807</v>
      </c>
      <c r="B32" t="s">
        <v>611</v>
      </c>
      <c r="C32" t="s">
        <v>613</v>
      </c>
    </row>
    <row r="33" spans="1:3" x14ac:dyDescent="0.25">
      <c r="A33" t="s">
        <v>807</v>
      </c>
      <c r="B33" t="s">
        <v>614</v>
      </c>
      <c r="C33" t="s">
        <v>616</v>
      </c>
    </row>
    <row r="34" spans="1:3" x14ac:dyDescent="0.25">
      <c r="A34" t="s">
        <v>807</v>
      </c>
      <c r="B34" t="s">
        <v>620</v>
      </c>
      <c r="C34" t="s">
        <v>622</v>
      </c>
    </row>
    <row r="35" spans="1:3" x14ac:dyDescent="0.25">
      <c r="A35" t="s">
        <v>807</v>
      </c>
      <c r="B35" t="s">
        <v>623</v>
      </c>
      <c r="C35" t="s">
        <v>625</v>
      </c>
    </row>
    <row r="36" spans="1:3" x14ac:dyDescent="0.25">
      <c r="A36" t="s">
        <v>807</v>
      </c>
      <c r="B36" t="s">
        <v>629</v>
      </c>
      <c r="C36" t="s">
        <v>631</v>
      </c>
    </row>
    <row r="37" spans="1:3" x14ac:dyDescent="0.25">
      <c r="A37" t="s">
        <v>807</v>
      </c>
      <c r="B37" t="s">
        <v>632</v>
      </c>
      <c r="C37" t="s">
        <v>634</v>
      </c>
    </row>
    <row r="38" spans="1:3" x14ac:dyDescent="0.25">
      <c r="A38" t="s">
        <v>807</v>
      </c>
      <c r="B38" t="s">
        <v>549</v>
      </c>
      <c r="C38" t="s">
        <v>550</v>
      </c>
    </row>
    <row r="39" spans="1:3" x14ac:dyDescent="0.25">
      <c r="A39" t="s">
        <v>807</v>
      </c>
      <c r="B39" t="s">
        <v>556</v>
      </c>
      <c r="C39" t="s">
        <v>558</v>
      </c>
    </row>
    <row r="40" spans="1:3" x14ac:dyDescent="0.25">
      <c r="A40" t="s">
        <v>807</v>
      </c>
      <c r="B40" t="s">
        <v>626</v>
      </c>
      <c r="C40" t="s">
        <v>628</v>
      </c>
    </row>
    <row r="41" spans="1:3" x14ac:dyDescent="0.25">
      <c r="A41" t="s">
        <v>807</v>
      </c>
      <c r="B41" t="s">
        <v>617</v>
      </c>
      <c r="C41" t="s">
        <v>619</v>
      </c>
    </row>
    <row r="42" spans="1:3" x14ac:dyDescent="0.25">
      <c r="A42" t="s">
        <v>807</v>
      </c>
      <c r="B42" t="s">
        <v>608</v>
      </c>
      <c r="C42" t="s">
        <v>610</v>
      </c>
    </row>
    <row r="43" spans="1:3" x14ac:dyDescent="0.25">
      <c r="A43" t="s">
        <v>807</v>
      </c>
      <c r="B43" t="s">
        <v>599</v>
      </c>
      <c r="C43" t="s">
        <v>601</v>
      </c>
    </row>
    <row r="44" spans="1:3" x14ac:dyDescent="0.25">
      <c r="A44" t="s">
        <v>807</v>
      </c>
      <c r="B44" t="s">
        <v>236</v>
      </c>
      <c r="C44" t="s">
        <v>238</v>
      </c>
    </row>
    <row r="45" spans="1:3" x14ac:dyDescent="0.25">
      <c r="A45" t="s">
        <v>807</v>
      </c>
      <c r="B45" t="s">
        <v>587</v>
      </c>
      <c r="C45" t="s">
        <v>589</v>
      </c>
    </row>
    <row r="46" spans="1:3" x14ac:dyDescent="0.25">
      <c r="A46" t="s">
        <v>807</v>
      </c>
      <c r="B46" t="s">
        <v>579</v>
      </c>
    </row>
    <row r="47" spans="1:3" x14ac:dyDescent="0.25">
      <c r="A47" t="s">
        <v>807</v>
      </c>
      <c r="B47" t="s">
        <v>570</v>
      </c>
      <c r="C47" t="s">
        <v>572</v>
      </c>
    </row>
    <row r="48" spans="1:3" x14ac:dyDescent="0.25">
      <c r="A48" t="s">
        <v>807</v>
      </c>
      <c r="B48" t="s">
        <v>562</v>
      </c>
    </row>
    <row r="49" spans="1:3" x14ac:dyDescent="0.25">
      <c r="A49" t="s">
        <v>807</v>
      </c>
      <c r="B49" t="s">
        <v>639</v>
      </c>
      <c r="C49" t="s">
        <v>641</v>
      </c>
    </row>
    <row r="50" spans="1:3" x14ac:dyDescent="0.25">
      <c r="A50" t="s">
        <v>807</v>
      </c>
      <c r="B50" t="s">
        <v>551</v>
      </c>
    </row>
    <row r="51" spans="1:3" x14ac:dyDescent="0.25">
      <c r="A51" t="s">
        <v>807</v>
      </c>
      <c r="B51" t="s">
        <v>808</v>
      </c>
    </row>
    <row r="52" spans="1:3" x14ac:dyDescent="0.25">
      <c r="A52" t="s">
        <v>807</v>
      </c>
      <c r="B52" t="s">
        <v>239</v>
      </c>
      <c r="C52" t="s">
        <v>241</v>
      </c>
    </row>
    <row r="53" spans="1:3" x14ac:dyDescent="0.25">
      <c r="A53" t="s">
        <v>807</v>
      </c>
      <c r="B53" t="s">
        <v>704</v>
      </c>
      <c r="C53" t="s">
        <v>706</v>
      </c>
    </row>
    <row r="54" spans="1:3" x14ac:dyDescent="0.25">
      <c r="A54" t="s">
        <v>807</v>
      </c>
      <c r="B54" t="s">
        <v>696</v>
      </c>
      <c r="C54" t="s">
        <v>697</v>
      </c>
    </row>
    <row r="55" spans="1:3" x14ac:dyDescent="0.25">
      <c r="A55" t="s">
        <v>807</v>
      </c>
      <c r="B55" t="s">
        <v>710</v>
      </c>
      <c r="C55" t="s">
        <v>711</v>
      </c>
    </row>
    <row r="56" spans="1:3" x14ac:dyDescent="0.25">
      <c r="A56" t="s">
        <v>807</v>
      </c>
      <c r="B56" t="s">
        <v>686</v>
      </c>
      <c r="C56" t="s">
        <v>659</v>
      </c>
    </row>
    <row r="57" spans="1:3" x14ac:dyDescent="0.25">
      <c r="A57" t="s">
        <v>807</v>
      </c>
      <c r="B57" t="s">
        <v>679</v>
      </c>
      <c r="C57" t="s">
        <v>680</v>
      </c>
    </row>
    <row r="58" spans="1:3" x14ac:dyDescent="0.25">
      <c r="A58" t="s">
        <v>807</v>
      </c>
      <c r="B58" t="s">
        <v>645</v>
      </c>
    </row>
    <row r="59" spans="1:3" x14ac:dyDescent="0.25">
      <c r="A59" t="s">
        <v>807</v>
      </c>
      <c r="B59" t="s">
        <v>647</v>
      </c>
    </row>
    <row r="60" spans="1:3" x14ac:dyDescent="0.25">
      <c r="A60" t="s">
        <v>807</v>
      </c>
      <c r="B60" t="s">
        <v>648</v>
      </c>
      <c r="C60" t="s">
        <v>650</v>
      </c>
    </row>
    <row r="61" spans="1:3" x14ac:dyDescent="0.25">
      <c r="A61" t="s">
        <v>807</v>
      </c>
      <c r="B61" t="s">
        <v>657</v>
      </c>
      <c r="C61" t="s">
        <v>659</v>
      </c>
    </row>
    <row r="62" spans="1:3" x14ac:dyDescent="0.25">
      <c r="A62" t="s">
        <v>807</v>
      </c>
      <c r="B62" t="s">
        <v>660</v>
      </c>
      <c r="C62" t="s">
        <v>662</v>
      </c>
    </row>
    <row r="63" spans="1:3" x14ac:dyDescent="0.25">
      <c r="A63" t="s">
        <v>809</v>
      </c>
      <c r="B63" t="s">
        <v>452</v>
      </c>
      <c r="C63" t="s">
        <v>454</v>
      </c>
    </row>
    <row r="64" spans="1:3" x14ac:dyDescent="0.25">
      <c r="A64" t="s">
        <v>809</v>
      </c>
      <c r="B64" t="s">
        <v>449</v>
      </c>
      <c r="C64" t="s">
        <v>451</v>
      </c>
    </row>
    <row r="65" spans="1:3" x14ac:dyDescent="0.25">
      <c r="A65" t="s">
        <v>809</v>
      </c>
      <c r="B65" t="s">
        <v>136</v>
      </c>
      <c r="C65" t="s">
        <v>138</v>
      </c>
    </row>
    <row r="66" spans="1:3" x14ac:dyDescent="0.25">
      <c r="A66" t="s">
        <v>809</v>
      </c>
      <c r="B66" t="s">
        <v>666</v>
      </c>
      <c r="C66" t="s">
        <v>668</v>
      </c>
    </row>
    <row r="67" spans="1:3" x14ac:dyDescent="0.25">
      <c r="A67" t="s">
        <v>809</v>
      </c>
      <c r="B67" t="s">
        <v>142</v>
      </c>
      <c r="C67" t="s">
        <v>144</v>
      </c>
    </row>
    <row r="68" spans="1:3" x14ac:dyDescent="0.25">
      <c r="A68" t="s">
        <v>809</v>
      </c>
      <c r="B68" t="s">
        <v>273</v>
      </c>
      <c r="C68" t="s">
        <v>275</v>
      </c>
    </row>
    <row r="69" spans="1:3" x14ac:dyDescent="0.25">
      <c r="A69" t="s">
        <v>809</v>
      </c>
      <c r="B69" t="s">
        <v>151</v>
      </c>
      <c r="C69" t="s">
        <v>153</v>
      </c>
    </row>
    <row r="70" spans="1:3" x14ac:dyDescent="0.25">
      <c r="A70" t="s">
        <v>809</v>
      </c>
      <c r="B70" t="s">
        <v>156</v>
      </c>
      <c r="C70" t="s">
        <v>158</v>
      </c>
    </row>
    <row r="71" spans="1:3" x14ac:dyDescent="0.25">
      <c r="A71" t="s">
        <v>809</v>
      </c>
      <c r="B71" t="s">
        <v>491</v>
      </c>
      <c r="C71" t="s">
        <v>493</v>
      </c>
    </row>
    <row r="72" spans="1:3" x14ac:dyDescent="0.25">
      <c r="A72" t="s">
        <v>809</v>
      </c>
      <c r="B72" t="s">
        <v>217</v>
      </c>
      <c r="C72" t="s">
        <v>219</v>
      </c>
    </row>
    <row r="73" spans="1:3" x14ac:dyDescent="0.25">
      <c r="A73" t="s">
        <v>809</v>
      </c>
      <c r="B73" t="s">
        <v>226</v>
      </c>
      <c r="C73" t="s">
        <v>228</v>
      </c>
    </row>
    <row r="74" spans="1:3" x14ac:dyDescent="0.25">
      <c r="A74" t="s">
        <v>809</v>
      </c>
      <c r="B74" t="s">
        <v>671</v>
      </c>
      <c r="C74" t="s">
        <v>673</v>
      </c>
    </row>
    <row r="75" spans="1:3" x14ac:dyDescent="0.25">
      <c r="A75" t="s">
        <v>809</v>
      </c>
      <c r="B75" t="s">
        <v>223</v>
      </c>
      <c r="C75" t="s">
        <v>225</v>
      </c>
    </row>
    <row r="76" spans="1:3" x14ac:dyDescent="0.25">
      <c r="A76" t="s">
        <v>809</v>
      </c>
      <c r="B76" t="s">
        <v>494</v>
      </c>
      <c r="C76" t="s">
        <v>496</v>
      </c>
    </row>
    <row r="77" spans="1:3" x14ac:dyDescent="0.25">
      <c r="A77" t="s">
        <v>809</v>
      </c>
      <c r="B77" t="s">
        <v>514</v>
      </c>
      <c r="C77" t="s">
        <v>516</v>
      </c>
    </row>
    <row r="78" spans="1:3" x14ac:dyDescent="0.25">
      <c r="A78" t="s">
        <v>809</v>
      </c>
      <c r="B78" t="s">
        <v>500</v>
      </c>
      <c r="C78" t="s">
        <v>502</v>
      </c>
    </row>
    <row r="79" spans="1:3" x14ac:dyDescent="0.25">
      <c r="A79" t="s">
        <v>809</v>
      </c>
      <c r="B79" t="s">
        <v>467</v>
      </c>
      <c r="C79" t="s">
        <v>469</v>
      </c>
    </row>
    <row r="80" spans="1:3" x14ac:dyDescent="0.25">
      <c r="A80" t="s">
        <v>809</v>
      </c>
      <c r="B80" t="s">
        <v>461</v>
      </c>
    </row>
    <row r="81" spans="1:3" x14ac:dyDescent="0.25">
      <c r="A81" t="s">
        <v>809</v>
      </c>
      <c r="B81" t="s">
        <v>545</v>
      </c>
      <c r="C81" t="s">
        <v>547</v>
      </c>
    </row>
    <row r="82" spans="1:3" x14ac:dyDescent="0.25">
      <c r="A82" t="s">
        <v>809</v>
      </c>
      <c r="B82" t="s">
        <v>539</v>
      </c>
      <c r="C82" t="s">
        <v>541</v>
      </c>
    </row>
    <row r="83" spans="1:3" x14ac:dyDescent="0.25">
      <c r="A83" t="s">
        <v>809</v>
      </c>
      <c r="B83" t="s">
        <v>536</v>
      </c>
      <c r="C83" t="s">
        <v>538</v>
      </c>
    </row>
    <row r="84" spans="1:3" x14ac:dyDescent="0.25">
      <c r="A84" t="s">
        <v>809</v>
      </c>
      <c r="B84" t="s">
        <v>534</v>
      </c>
      <c r="C84" t="s">
        <v>475</v>
      </c>
    </row>
    <row r="85" spans="1:3" x14ac:dyDescent="0.25">
      <c r="A85" t="s">
        <v>809</v>
      </c>
      <c r="B85" t="s">
        <v>531</v>
      </c>
      <c r="C85" t="s">
        <v>533</v>
      </c>
    </row>
    <row r="86" spans="1:3" x14ac:dyDescent="0.25">
      <c r="A86" t="s">
        <v>809</v>
      </c>
      <c r="B86" t="s">
        <v>529</v>
      </c>
    </row>
    <row r="87" spans="1:3" x14ac:dyDescent="0.25">
      <c r="A87" t="s">
        <v>809</v>
      </c>
      <c r="B87" t="s">
        <v>523</v>
      </c>
      <c r="C87" t="s">
        <v>525</v>
      </c>
    </row>
    <row r="88" spans="1:3" x14ac:dyDescent="0.25">
      <c r="A88" t="s">
        <v>809</v>
      </c>
      <c r="B88" t="s">
        <v>520</v>
      </c>
      <c r="C88" t="s">
        <v>522</v>
      </c>
    </row>
    <row r="89" spans="1:3" x14ac:dyDescent="0.25">
      <c r="A89" t="s">
        <v>809</v>
      </c>
      <c r="B89" t="s">
        <v>517</v>
      </c>
      <c r="C89" t="s">
        <v>519</v>
      </c>
    </row>
    <row r="90" spans="1:3" x14ac:dyDescent="0.25">
      <c r="A90" t="s">
        <v>809</v>
      </c>
      <c r="B90" t="s">
        <v>512</v>
      </c>
    </row>
    <row r="91" spans="1:3" x14ac:dyDescent="0.25">
      <c r="A91" t="s">
        <v>809</v>
      </c>
      <c r="B91" t="s">
        <v>509</v>
      </c>
      <c r="C91" t="s">
        <v>511</v>
      </c>
    </row>
    <row r="92" spans="1:3" x14ac:dyDescent="0.25">
      <c r="A92" t="s">
        <v>809</v>
      </c>
      <c r="B92" t="s">
        <v>497</v>
      </c>
      <c r="C92" t="s">
        <v>499</v>
      </c>
    </row>
    <row r="93" spans="1:3" x14ac:dyDescent="0.25">
      <c r="A93" t="s">
        <v>809</v>
      </c>
      <c r="B93" t="s">
        <v>503</v>
      </c>
      <c r="C93" t="s">
        <v>505</v>
      </c>
    </row>
    <row r="94" spans="1:3" x14ac:dyDescent="0.25">
      <c r="A94" t="s">
        <v>809</v>
      </c>
      <c r="B94" t="s">
        <v>526</v>
      </c>
      <c r="C94" t="s">
        <v>528</v>
      </c>
    </row>
    <row r="95" spans="1:3" x14ac:dyDescent="0.25">
      <c r="A95" t="s">
        <v>809</v>
      </c>
      <c r="B95" t="s">
        <v>446</v>
      </c>
      <c r="C95" t="s">
        <v>448</v>
      </c>
    </row>
    <row r="96" spans="1:3" x14ac:dyDescent="0.25">
      <c r="A96" t="s">
        <v>809</v>
      </c>
      <c r="B96" t="s">
        <v>441</v>
      </c>
      <c r="C96" t="s">
        <v>443</v>
      </c>
    </row>
    <row r="97" spans="1:3" x14ac:dyDescent="0.25">
      <c r="A97" t="s">
        <v>809</v>
      </c>
      <c r="B97" t="s">
        <v>444</v>
      </c>
    </row>
    <row r="98" spans="1:3" x14ac:dyDescent="0.25">
      <c r="A98" t="s">
        <v>809</v>
      </c>
      <c r="B98" t="s">
        <v>419</v>
      </c>
      <c r="C98" t="s">
        <v>421</v>
      </c>
    </row>
    <row r="99" spans="1:3" x14ac:dyDescent="0.25">
      <c r="A99" t="s">
        <v>809</v>
      </c>
      <c r="B99" t="s">
        <v>485</v>
      </c>
      <c r="C99" t="s">
        <v>487</v>
      </c>
    </row>
    <row r="100" spans="1:3" x14ac:dyDescent="0.25">
      <c r="A100" t="s">
        <v>809</v>
      </c>
      <c r="B100" t="s">
        <v>482</v>
      </c>
      <c r="C100" t="s">
        <v>484</v>
      </c>
    </row>
    <row r="101" spans="1:3" x14ac:dyDescent="0.25">
      <c r="A101" t="s">
        <v>809</v>
      </c>
      <c r="B101" t="s">
        <v>455</v>
      </c>
      <c r="C101" t="s">
        <v>457</v>
      </c>
    </row>
    <row r="102" spans="1:3" x14ac:dyDescent="0.25">
      <c r="A102" t="s">
        <v>809</v>
      </c>
      <c r="B102" t="s">
        <v>542</v>
      </c>
      <c r="C102" t="s">
        <v>544</v>
      </c>
    </row>
    <row r="103" spans="1:3" x14ac:dyDescent="0.25">
      <c r="A103" t="s">
        <v>809</v>
      </c>
      <c r="B103" t="s">
        <v>506</v>
      </c>
      <c r="C103" t="s">
        <v>508</v>
      </c>
    </row>
    <row r="104" spans="1:3" x14ac:dyDescent="0.25">
      <c r="A104" t="s">
        <v>809</v>
      </c>
      <c r="B104" t="s">
        <v>438</v>
      </c>
      <c r="C104" t="s">
        <v>440</v>
      </c>
    </row>
    <row r="105" spans="1:3" x14ac:dyDescent="0.25">
      <c r="A105" t="s">
        <v>809</v>
      </c>
      <c r="B105" t="s">
        <v>470</v>
      </c>
      <c r="C105" t="s">
        <v>472</v>
      </c>
    </row>
    <row r="106" spans="1:3" x14ac:dyDescent="0.25">
      <c r="A106" t="s">
        <v>809</v>
      </c>
      <c r="B106" t="s">
        <v>479</v>
      </c>
      <c r="C106" t="s">
        <v>481</v>
      </c>
    </row>
    <row r="107" spans="1:3" x14ac:dyDescent="0.25">
      <c r="A107" t="s">
        <v>809</v>
      </c>
      <c r="B107" t="s">
        <v>427</v>
      </c>
      <c r="C107" t="s">
        <v>429</v>
      </c>
    </row>
    <row r="108" spans="1:3" x14ac:dyDescent="0.25">
      <c r="A108" t="s">
        <v>809</v>
      </c>
      <c r="B108" t="s">
        <v>394</v>
      </c>
      <c r="C108" t="s">
        <v>396</v>
      </c>
    </row>
    <row r="109" spans="1:3" x14ac:dyDescent="0.25">
      <c r="A109" t="s">
        <v>809</v>
      </c>
      <c r="B109" t="s">
        <v>433</v>
      </c>
      <c r="C109" t="s">
        <v>435</v>
      </c>
    </row>
    <row r="110" spans="1:3" x14ac:dyDescent="0.25">
      <c r="A110" t="s">
        <v>809</v>
      </c>
      <c r="B110" t="s">
        <v>436</v>
      </c>
    </row>
    <row r="111" spans="1:3" x14ac:dyDescent="0.25">
      <c r="A111" t="s">
        <v>809</v>
      </c>
      <c r="B111" t="s">
        <v>458</v>
      </c>
      <c r="C111" t="s">
        <v>460</v>
      </c>
    </row>
    <row r="112" spans="1:3" x14ac:dyDescent="0.25">
      <c r="A112" t="s">
        <v>809</v>
      </c>
      <c r="B112" t="s">
        <v>465</v>
      </c>
    </row>
    <row r="113" spans="1:3" x14ac:dyDescent="0.25">
      <c r="A113" t="s">
        <v>809</v>
      </c>
      <c r="B113" t="s">
        <v>473</v>
      </c>
      <c r="C113" t="s">
        <v>475</v>
      </c>
    </row>
    <row r="114" spans="1:3" x14ac:dyDescent="0.25">
      <c r="A114" t="s">
        <v>809</v>
      </c>
      <c r="B114" t="s">
        <v>476</v>
      </c>
      <c r="C114" t="s">
        <v>478</v>
      </c>
    </row>
    <row r="115" spans="1:3" x14ac:dyDescent="0.25">
      <c r="A115" t="s">
        <v>809</v>
      </c>
      <c r="B115" t="s">
        <v>416</v>
      </c>
      <c r="C115" t="s">
        <v>418</v>
      </c>
    </row>
    <row r="116" spans="1:3" x14ac:dyDescent="0.25">
      <c r="A116" t="s">
        <v>809</v>
      </c>
      <c r="B116" t="s">
        <v>488</v>
      </c>
      <c r="C116" t="s">
        <v>490</v>
      </c>
    </row>
    <row r="117" spans="1:3" x14ac:dyDescent="0.25">
      <c r="A117" t="s">
        <v>809</v>
      </c>
      <c r="B117" t="s">
        <v>424</v>
      </c>
      <c r="C117" t="s">
        <v>426</v>
      </c>
    </row>
    <row r="118" spans="1:3" x14ac:dyDescent="0.25">
      <c r="A118" t="s">
        <v>809</v>
      </c>
      <c r="B118" t="s">
        <v>59</v>
      </c>
      <c r="C118" t="s">
        <v>61</v>
      </c>
    </row>
    <row r="119" spans="1:3" x14ac:dyDescent="0.25">
      <c r="A119" t="s">
        <v>810</v>
      </c>
      <c r="B119" t="s">
        <v>124</v>
      </c>
      <c r="C119" t="s">
        <v>126</v>
      </c>
    </row>
    <row r="120" spans="1:3" x14ac:dyDescent="0.25">
      <c r="A120" t="s">
        <v>810</v>
      </c>
      <c r="B120" t="s">
        <v>130</v>
      </c>
      <c r="C120" t="s">
        <v>132</v>
      </c>
    </row>
    <row r="121" spans="1:3" x14ac:dyDescent="0.25">
      <c r="A121" t="s">
        <v>810</v>
      </c>
      <c r="B121" t="s">
        <v>257</v>
      </c>
      <c r="C121" t="s">
        <v>259</v>
      </c>
    </row>
    <row r="122" spans="1:3" x14ac:dyDescent="0.25">
      <c r="A122" t="s">
        <v>810</v>
      </c>
      <c r="B122" t="s">
        <v>94</v>
      </c>
      <c r="C122" t="s">
        <v>96</v>
      </c>
    </row>
    <row r="123" spans="1:3" x14ac:dyDescent="0.25">
      <c r="A123" t="s">
        <v>810</v>
      </c>
      <c r="B123" t="s">
        <v>102</v>
      </c>
    </row>
    <row r="124" spans="1:3" x14ac:dyDescent="0.25">
      <c r="A124" t="s">
        <v>810</v>
      </c>
      <c r="B124" t="s">
        <v>110</v>
      </c>
    </row>
    <row r="125" spans="1:3" x14ac:dyDescent="0.25">
      <c r="A125" t="s">
        <v>810</v>
      </c>
      <c r="B125" t="s">
        <v>118</v>
      </c>
      <c r="C125" t="s">
        <v>120</v>
      </c>
    </row>
    <row r="126" spans="1:3" x14ac:dyDescent="0.25">
      <c r="A126" t="s">
        <v>810</v>
      </c>
      <c r="B126" t="s">
        <v>139</v>
      </c>
      <c r="C126" t="s">
        <v>141</v>
      </c>
    </row>
    <row r="127" spans="1:3" x14ac:dyDescent="0.25">
      <c r="A127" t="s">
        <v>810</v>
      </c>
      <c r="B127" t="s">
        <v>48</v>
      </c>
      <c r="C127" t="s">
        <v>50</v>
      </c>
    </row>
    <row r="128" spans="1:3" x14ac:dyDescent="0.25">
      <c r="A128" t="s">
        <v>810</v>
      </c>
      <c r="B128" t="s">
        <v>121</v>
      </c>
      <c r="C128" t="s">
        <v>123</v>
      </c>
    </row>
    <row r="129" spans="1:3" x14ac:dyDescent="0.25">
      <c r="A129" t="s">
        <v>810</v>
      </c>
      <c r="B129" t="s">
        <v>115</v>
      </c>
      <c r="C129" t="s">
        <v>117</v>
      </c>
    </row>
    <row r="130" spans="1:3" x14ac:dyDescent="0.25">
      <c r="A130" t="s">
        <v>810</v>
      </c>
      <c r="B130" t="s">
        <v>112</v>
      </c>
      <c r="C130" t="s">
        <v>114</v>
      </c>
    </row>
    <row r="131" spans="1:3" x14ac:dyDescent="0.25">
      <c r="A131" t="s">
        <v>810</v>
      </c>
      <c r="B131" t="s">
        <v>107</v>
      </c>
      <c r="C131" t="s">
        <v>109</v>
      </c>
    </row>
    <row r="132" spans="1:3" x14ac:dyDescent="0.25">
      <c r="A132" t="s">
        <v>810</v>
      </c>
      <c r="B132" t="s">
        <v>104</v>
      </c>
      <c r="C132" t="s">
        <v>106</v>
      </c>
    </row>
    <row r="133" spans="1:3" x14ac:dyDescent="0.25">
      <c r="A133" t="s">
        <v>810</v>
      </c>
      <c r="B133" t="s">
        <v>100</v>
      </c>
    </row>
    <row r="134" spans="1:3" x14ac:dyDescent="0.25">
      <c r="A134" t="s">
        <v>810</v>
      </c>
      <c r="B134" t="s">
        <v>97</v>
      </c>
      <c r="C134" t="s">
        <v>99</v>
      </c>
    </row>
    <row r="135" spans="1:3" x14ac:dyDescent="0.25">
      <c r="A135" t="s">
        <v>810</v>
      </c>
      <c r="B135" t="s">
        <v>91</v>
      </c>
      <c r="C135" t="s">
        <v>93</v>
      </c>
    </row>
    <row r="136" spans="1:3" x14ac:dyDescent="0.25">
      <c r="A136" t="s">
        <v>810</v>
      </c>
      <c r="B136" t="s">
        <v>88</v>
      </c>
      <c r="C136" t="s">
        <v>90</v>
      </c>
    </row>
    <row r="137" spans="1:3" x14ac:dyDescent="0.25">
      <c r="A137" t="s">
        <v>810</v>
      </c>
      <c r="B137" t="s">
        <v>85</v>
      </c>
      <c r="C137" t="s">
        <v>87</v>
      </c>
    </row>
    <row r="138" spans="1:3" x14ac:dyDescent="0.25">
      <c r="A138" t="s">
        <v>810</v>
      </c>
      <c r="B138" t="s">
        <v>82</v>
      </c>
      <c r="C138" t="s">
        <v>84</v>
      </c>
    </row>
    <row r="139" spans="1:3" x14ac:dyDescent="0.25">
      <c r="A139" t="s">
        <v>810</v>
      </c>
      <c r="B139" t="s">
        <v>76</v>
      </c>
      <c r="C139" t="s">
        <v>78</v>
      </c>
    </row>
    <row r="140" spans="1:3" x14ac:dyDescent="0.25">
      <c r="A140" t="s">
        <v>810</v>
      </c>
      <c r="B140" t="s">
        <v>127</v>
      </c>
      <c r="C140" t="s">
        <v>129</v>
      </c>
    </row>
    <row r="141" spans="1:3" x14ac:dyDescent="0.25">
      <c r="A141" t="s">
        <v>810</v>
      </c>
      <c r="B141" t="s">
        <v>148</v>
      </c>
      <c r="C141" t="s">
        <v>150</v>
      </c>
    </row>
    <row r="142" spans="1:3" x14ac:dyDescent="0.25">
      <c r="A142" t="s">
        <v>810</v>
      </c>
      <c r="B142" t="s">
        <v>133</v>
      </c>
      <c r="C142" t="s">
        <v>135</v>
      </c>
    </row>
    <row r="143" spans="1:3" x14ac:dyDescent="0.25">
      <c r="A143" t="s">
        <v>810</v>
      </c>
      <c r="B143" t="s">
        <v>178</v>
      </c>
      <c r="C143" t="s">
        <v>180</v>
      </c>
    </row>
    <row r="144" spans="1:3" x14ac:dyDescent="0.25">
      <c r="A144" t="s">
        <v>810</v>
      </c>
      <c r="B144" t="s">
        <v>175</v>
      </c>
      <c r="C144" t="s">
        <v>177</v>
      </c>
    </row>
    <row r="145" spans="1:3" x14ac:dyDescent="0.25">
      <c r="A145" t="s">
        <v>810</v>
      </c>
      <c r="B145" t="s">
        <v>172</v>
      </c>
      <c r="C145" t="s">
        <v>174</v>
      </c>
    </row>
    <row r="146" spans="1:3" x14ac:dyDescent="0.25">
      <c r="A146" t="s">
        <v>810</v>
      </c>
      <c r="B146" t="s">
        <v>169</v>
      </c>
      <c r="C146" t="s">
        <v>171</v>
      </c>
    </row>
    <row r="147" spans="1:3" x14ac:dyDescent="0.25">
      <c r="A147" t="s">
        <v>810</v>
      </c>
      <c r="B147" t="s">
        <v>167</v>
      </c>
      <c r="C147" t="s">
        <v>168</v>
      </c>
    </row>
    <row r="148" spans="1:3" x14ac:dyDescent="0.25">
      <c r="A148" t="s">
        <v>810</v>
      </c>
      <c r="B148" t="s">
        <v>165</v>
      </c>
    </row>
    <row r="149" spans="1:3" x14ac:dyDescent="0.25">
      <c r="A149" t="s">
        <v>810</v>
      </c>
      <c r="B149" t="s">
        <v>162</v>
      </c>
      <c r="C149" t="s">
        <v>164</v>
      </c>
    </row>
    <row r="150" spans="1:3" x14ac:dyDescent="0.25">
      <c r="A150" t="s">
        <v>810</v>
      </c>
      <c r="B150" t="s">
        <v>181</v>
      </c>
      <c r="C150" t="s">
        <v>183</v>
      </c>
    </row>
    <row r="151" spans="1:3" x14ac:dyDescent="0.25">
      <c r="A151" t="s">
        <v>810</v>
      </c>
      <c r="B151" t="s">
        <v>154</v>
      </c>
    </row>
    <row r="152" spans="1:3" x14ac:dyDescent="0.25">
      <c r="A152" t="s">
        <v>810</v>
      </c>
      <c r="B152" t="s">
        <v>53</v>
      </c>
      <c r="C152" t="s">
        <v>55</v>
      </c>
    </row>
    <row r="153" spans="1:3" x14ac:dyDescent="0.25">
      <c r="A153" t="s">
        <v>810</v>
      </c>
      <c r="B153" t="s">
        <v>159</v>
      </c>
      <c r="C153" t="s">
        <v>161</v>
      </c>
    </row>
    <row r="154" spans="1:3" x14ac:dyDescent="0.25">
      <c r="A154" t="s">
        <v>810</v>
      </c>
      <c r="B154" t="s">
        <v>145</v>
      </c>
      <c r="C154" t="s">
        <v>147</v>
      </c>
    </row>
    <row r="155" spans="1:3" x14ac:dyDescent="0.25">
      <c r="A155" t="s">
        <v>810</v>
      </c>
      <c r="B155" t="s">
        <v>70</v>
      </c>
      <c r="C155" t="s">
        <v>72</v>
      </c>
    </row>
    <row r="156" spans="1:3" x14ac:dyDescent="0.25">
      <c r="A156" t="s">
        <v>810</v>
      </c>
      <c r="B156" t="s">
        <v>430</v>
      </c>
      <c r="C156" t="s">
        <v>432</v>
      </c>
    </row>
    <row r="157" spans="1:3" x14ac:dyDescent="0.25">
      <c r="A157" t="s">
        <v>810</v>
      </c>
      <c r="B157" t="s">
        <v>56</v>
      </c>
      <c r="C157" t="s">
        <v>58</v>
      </c>
    </row>
    <row r="158" spans="1:3" x14ac:dyDescent="0.25">
      <c r="A158" t="s">
        <v>810</v>
      </c>
      <c r="B158" t="s">
        <v>73</v>
      </c>
      <c r="C158" t="s">
        <v>75</v>
      </c>
    </row>
    <row r="159" spans="1:3" x14ac:dyDescent="0.25">
      <c r="A159" t="s">
        <v>810</v>
      </c>
      <c r="B159" t="s">
        <v>62</v>
      </c>
      <c r="C159" t="s">
        <v>64</v>
      </c>
    </row>
    <row r="160" spans="1:3" x14ac:dyDescent="0.25">
      <c r="A160" t="s">
        <v>811</v>
      </c>
      <c r="B160" t="s">
        <v>67</v>
      </c>
      <c r="C160" t="s">
        <v>69</v>
      </c>
    </row>
    <row r="161" spans="1:3" x14ac:dyDescent="0.25">
      <c r="A161" t="s">
        <v>811</v>
      </c>
      <c r="B161" t="s">
        <v>42</v>
      </c>
      <c r="C161" t="s">
        <v>44</v>
      </c>
    </row>
    <row r="162" spans="1:3" x14ac:dyDescent="0.25">
      <c r="A162" t="s">
        <v>811</v>
      </c>
      <c r="B162" t="s">
        <v>36</v>
      </c>
      <c r="C162" t="s">
        <v>38</v>
      </c>
    </row>
    <row r="163" spans="1:3" x14ac:dyDescent="0.25">
      <c r="A163" t="s">
        <v>811</v>
      </c>
      <c r="B163" t="s">
        <v>269</v>
      </c>
      <c r="C163" t="s">
        <v>271</v>
      </c>
    </row>
    <row r="164" spans="1:3" x14ac:dyDescent="0.25">
      <c r="A164" t="s">
        <v>811</v>
      </c>
      <c r="B164" t="s">
        <v>202</v>
      </c>
      <c r="C164" t="s">
        <v>204</v>
      </c>
    </row>
    <row r="165" spans="1:3" x14ac:dyDescent="0.25">
      <c r="A165" t="s">
        <v>811</v>
      </c>
      <c r="B165" t="s">
        <v>211</v>
      </c>
      <c r="C165" t="s">
        <v>213</v>
      </c>
    </row>
    <row r="166" spans="1:3" x14ac:dyDescent="0.25">
      <c r="A166" t="s">
        <v>811</v>
      </c>
      <c r="B166" t="s">
        <v>185</v>
      </c>
      <c r="C166" t="s">
        <v>187</v>
      </c>
    </row>
    <row r="167" spans="1:3" x14ac:dyDescent="0.25">
      <c r="A167" t="s">
        <v>811</v>
      </c>
      <c r="B167" t="s">
        <v>214</v>
      </c>
      <c r="C167" t="s">
        <v>216</v>
      </c>
    </row>
    <row r="168" spans="1:3" x14ac:dyDescent="0.25">
      <c r="A168" t="s">
        <v>811</v>
      </c>
      <c r="B168" t="s">
        <v>208</v>
      </c>
      <c r="C168" t="s">
        <v>210</v>
      </c>
    </row>
    <row r="169" spans="1:3" x14ac:dyDescent="0.25">
      <c r="A169" t="s">
        <v>811</v>
      </c>
      <c r="B169" t="s">
        <v>193</v>
      </c>
      <c r="C169" t="s">
        <v>195</v>
      </c>
    </row>
    <row r="170" spans="1:3" x14ac:dyDescent="0.25">
      <c r="A170" t="s">
        <v>811</v>
      </c>
      <c r="B170" t="s">
        <v>190</v>
      </c>
      <c r="C170" t="s">
        <v>192</v>
      </c>
    </row>
    <row r="171" spans="1:3" x14ac:dyDescent="0.25">
      <c r="A171" t="s">
        <v>811</v>
      </c>
      <c r="B171" t="s">
        <v>249</v>
      </c>
      <c r="C171" t="s">
        <v>251</v>
      </c>
    </row>
    <row r="172" spans="1:3" x14ac:dyDescent="0.25">
      <c r="A172" t="s">
        <v>811</v>
      </c>
      <c r="B172" t="s">
        <v>199</v>
      </c>
      <c r="C172" t="s">
        <v>201</v>
      </c>
    </row>
    <row r="173" spans="1:3" x14ac:dyDescent="0.25">
      <c r="A173" t="s">
        <v>811</v>
      </c>
      <c r="B173" t="s">
        <v>242</v>
      </c>
      <c r="C173" t="s">
        <v>244</v>
      </c>
    </row>
    <row r="174" spans="1:3" x14ac:dyDescent="0.25">
      <c r="A174" t="s">
        <v>811</v>
      </c>
      <c r="B174" t="s">
        <v>196</v>
      </c>
      <c r="C174" t="s">
        <v>198</v>
      </c>
    </row>
    <row r="175" spans="1:3" x14ac:dyDescent="0.25">
      <c r="A175" t="s">
        <v>811</v>
      </c>
      <c r="B175" t="s">
        <v>232</v>
      </c>
      <c r="C175" t="s">
        <v>233</v>
      </c>
    </row>
    <row r="176" spans="1:3" x14ac:dyDescent="0.25">
      <c r="A176" t="s">
        <v>811</v>
      </c>
      <c r="B176" t="s">
        <v>263</v>
      </c>
      <c r="C176" t="s">
        <v>256</v>
      </c>
    </row>
    <row r="177" spans="1:3" x14ac:dyDescent="0.25">
      <c r="A177" t="s">
        <v>811</v>
      </c>
      <c r="B177" t="s">
        <v>220</v>
      </c>
      <c r="C177" t="s">
        <v>222</v>
      </c>
    </row>
    <row r="178" spans="1:3" x14ac:dyDescent="0.25">
      <c r="A178" t="s">
        <v>811</v>
      </c>
      <c r="B178" t="s">
        <v>205</v>
      </c>
      <c r="C178" t="s">
        <v>207</v>
      </c>
    </row>
    <row r="179" spans="1:3" x14ac:dyDescent="0.25">
      <c r="A179" t="s">
        <v>811</v>
      </c>
      <c r="B179" t="s">
        <v>254</v>
      </c>
      <c r="C179" t="s">
        <v>256</v>
      </c>
    </row>
    <row r="180" spans="1:3" x14ac:dyDescent="0.25">
      <c r="A180" t="s">
        <v>811</v>
      </c>
      <c r="B180" t="s">
        <v>267</v>
      </c>
    </row>
    <row r="181" spans="1:3" x14ac:dyDescent="0.25">
      <c r="A181" t="s">
        <v>811</v>
      </c>
      <c r="B181" t="s">
        <v>272</v>
      </c>
    </row>
    <row r="182" spans="1:3" x14ac:dyDescent="0.25">
      <c r="A182" t="s">
        <v>811</v>
      </c>
      <c r="B182" t="s">
        <v>265</v>
      </c>
    </row>
    <row r="183" spans="1:3" x14ac:dyDescent="0.25">
      <c r="A183" t="s">
        <v>811</v>
      </c>
      <c r="B183" t="s">
        <v>260</v>
      </c>
      <c r="C183" t="s">
        <v>262</v>
      </c>
    </row>
    <row r="184" spans="1:3" x14ac:dyDescent="0.25">
      <c r="A184" t="s">
        <v>811</v>
      </c>
      <c r="B184" t="s">
        <v>229</v>
      </c>
      <c r="C184" t="s">
        <v>231</v>
      </c>
    </row>
    <row r="185" spans="1:3" x14ac:dyDescent="0.25">
      <c r="A185" t="s">
        <v>811</v>
      </c>
      <c r="B185" t="s">
        <v>188</v>
      </c>
    </row>
    <row r="186" spans="1:3" x14ac:dyDescent="0.25">
      <c r="A186" t="s">
        <v>811</v>
      </c>
      <c r="B186" t="s">
        <v>246</v>
      </c>
      <c r="C186" t="s">
        <v>248</v>
      </c>
    </row>
    <row r="187" spans="1:3" x14ac:dyDescent="0.25">
      <c r="A187" t="s">
        <v>812</v>
      </c>
      <c r="B187" t="s">
        <v>669</v>
      </c>
    </row>
    <row r="188" spans="1:3" x14ac:dyDescent="0.25">
      <c r="A188" t="s">
        <v>812</v>
      </c>
      <c r="B188" t="s">
        <v>342</v>
      </c>
      <c r="C188" t="s">
        <v>344</v>
      </c>
    </row>
    <row r="189" spans="1:3" x14ac:dyDescent="0.25">
      <c r="A189" t="s">
        <v>812</v>
      </c>
      <c r="B189" t="s">
        <v>311</v>
      </c>
      <c r="C189" t="s">
        <v>313</v>
      </c>
    </row>
    <row r="190" spans="1:3" x14ac:dyDescent="0.25">
      <c r="A190" t="s">
        <v>812</v>
      </c>
      <c r="B190" t="s">
        <v>291</v>
      </c>
      <c r="C190" t="s">
        <v>293</v>
      </c>
    </row>
    <row r="191" spans="1:3" x14ac:dyDescent="0.25">
      <c r="A191" t="s">
        <v>812</v>
      </c>
      <c r="B191" t="s">
        <v>294</v>
      </c>
      <c r="C191" t="s">
        <v>296</v>
      </c>
    </row>
    <row r="192" spans="1:3" x14ac:dyDescent="0.25">
      <c r="A192" t="s">
        <v>812</v>
      </c>
      <c r="B192" t="s">
        <v>314</v>
      </c>
      <c r="C192" t="s">
        <v>316</v>
      </c>
    </row>
    <row r="193" spans="1:3" x14ac:dyDescent="0.25">
      <c r="A193" t="s">
        <v>812</v>
      </c>
      <c r="B193" t="s">
        <v>303</v>
      </c>
    </row>
    <row r="194" spans="1:3" x14ac:dyDescent="0.25">
      <c r="A194" t="s">
        <v>812</v>
      </c>
      <c r="B194" t="s">
        <v>339</v>
      </c>
      <c r="C194" t="s">
        <v>341</v>
      </c>
    </row>
    <row r="195" spans="1:3" x14ac:dyDescent="0.25">
      <c r="A195" t="s">
        <v>812</v>
      </c>
      <c r="B195" t="s">
        <v>319</v>
      </c>
      <c r="C195" t="s">
        <v>321</v>
      </c>
    </row>
    <row r="196" spans="1:3" x14ac:dyDescent="0.25">
      <c r="A196" t="s">
        <v>812</v>
      </c>
      <c r="B196" t="s">
        <v>382</v>
      </c>
      <c r="C196" t="s">
        <v>384</v>
      </c>
    </row>
    <row r="197" spans="1:3" x14ac:dyDescent="0.25">
      <c r="A197" t="s">
        <v>812</v>
      </c>
      <c r="B197" t="s">
        <v>305</v>
      </c>
      <c r="C197" t="s">
        <v>307</v>
      </c>
    </row>
    <row r="198" spans="1:3" x14ac:dyDescent="0.25">
      <c r="A198" t="s">
        <v>812</v>
      </c>
      <c r="B198" t="s">
        <v>365</v>
      </c>
      <c r="C198" t="s">
        <v>367</v>
      </c>
    </row>
    <row r="199" spans="1:3" x14ac:dyDescent="0.25">
      <c r="A199" t="s">
        <v>812</v>
      </c>
      <c r="B199" t="s">
        <v>280</v>
      </c>
      <c r="C199" t="s">
        <v>282</v>
      </c>
    </row>
    <row r="200" spans="1:3" x14ac:dyDescent="0.25">
      <c r="A200" t="s">
        <v>812</v>
      </c>
      <c r="B200" t="s">
        <v>355</v>
      </c>
      <c r="C200" t="s">
        <v>357</v>
      </c>
    </row>
    <row r="201" spans="1:3" x14ac:dyDescent="0.25">
      <c r="A201" t="s">
        <v>812</v>
      </c>
      <c r="B201" t="s">
        <v>297</v>
      </c>
      <c r="C201" t="s">
        <v>299</v>
      </c>
    </row>
    <row r="202" spans="1:3" x14ac:dyDescent="0.25">
      <c r="A202" t="s">
        <v>812</v>
      </c>
      <c r="B202" t="s">
        <v>406</v>
      </c>
      <c r="C202" t="s">
        <v>408</v>
      </c>
    </row>
    <row r="203" spans="1:3" x14ac:dyDescent="0.25">
      <c r="A203" t="s">
        <v>812</v>
      </c>
      <c r="B203" t="s">
        <v>400</v>
      </c>
      <c r="C203" t="s">
        <v>402</v>
      </c>
    </row>
    <row r="204" spans="1:3" x14ac:dyDescent="0.25">
      <c r="A204" t="s">
        <v>812</v>
      </c>
      <c r="B204" t="s">
        <v>412</v>
      </c>
      <c r="C204" t="s">
        <v>414</v>
      </c>
    </row>
    <row r="205" spans="1:3" x14ac:dyDescent="0.25">
      <c r="A205" t="s">
        <v>812</v>
      </c>
      <c r="B205" t="s">
        <v>391</v>
      </c>
      <c r="C205" t="s">
        <v>393</v>
      </c>
    </row>
    <row r="206" spans="1:3" x14ac:dyDescent="0.25">
      <c r="A206" t="s">
        <v>812</v>
      </c>
      <c r="B206" t="s">
        <v>277</v>
      </c>
      <c r="C206" t="s">
        <v>279</v>
      </c>
    </row>
    <row r="207" spans="1:3" x14ac:dyDescent="0.25">
      <c r="A207" t="s">
        <v>812</v>
      </c>
      <c r="B207" t="s">
        <v>277</v>
      </c>
      <c r="C207" t="s">
        <v>279</v>
      </c>
    </row>
    <row r="208" spans="1:3" x14ac:dyDescent="0.25">
      <c r="A208" t="s">
        <v>812</v>
      </c>
      <c r="B208" t="s">
        <v>385</v>
      </c>
      <c r="C208" t="s">
        <v>387</v>
      </c>
    </row>
    <row r="209" spans="1:3" x14ac:dyDescent="0.25">
      <c r="A209" t="s">
        <v>812</v>
      </c>
      <c r="B209" t="s">
        <v>379</v>
      </c>
      <c r="C209" t="s">
        <v>381</v>
      </c>
    </row>
    <row r="210" spans="1:3" x14ac:dyDescent="0.25">
      <c r="A210" t="s">
        <v>812</v>
      </c>
      <c r="B210" t="s">
        <v>388</v>
      </c>
      <c r="C210" t="s">
        <v>390</v>
      </c>
    </row>
    <row r="211" spans="1:3" x14ac:dyDescent="0.25">
      <c r="A211" t="s">
        <v>812</v>
      </c>
      <c r="B211" t="s">
        <v>350</v>
      </c>
      <c r="C211" t="s">
        <v>352</v>
      </c>
    </row>
    <row r="212" spans="1:3" x14ac:dyDescent="0.25">
      <c r="A212" t="s">
        <v>812</v>
      </c>
      <c r="B212" t="s">
        <v>370</v>
      </c>
      <c r="C212" t="s">
        <v>372</v>
      </c>
    </row>
    <row r="213" spans="1:3" x14ac:dyDescent="0.25">
      <c r="A213" t="s">
        <v>812</v>
      </c>
      <c r="B213" t="s">
        <v>373</v>
      </c>
      <c r="C213" t="s">
        <v>375</v>
      </c>
    </row>
    <row r="214" spans="1:3" x14ac:dyDescent="0.25">
      <c r="A214" t="s">
        <v>812</v>
      </c>
      <c r="B214" t="s">
        <v>376</v>
      </c>
      <c r="C214" t="s">
        <v>378</v>
      </c>
    </row>
    <row r="215" spans="1:3" x14ac:dyDescent="0.25">
      <c r="A215" t="s">
        <v>812</v>
      </c>
      <c r="B215" t="s">
        <v>359</v>
      </c>
      <c r="C215" t="s">
        <v>361</v>
      </c>
    </row>
    <row r="216" spans="1:3" x14ac:dyDescent="0.25">
      <c r="A216" t="s">
        <v>812</v>
      </c>
      <c r="B216" t="s">
        <v>362</v>
      </c>
      <c r="C216" t="s">
        <v>364</v>
      </c>
    </row>
    <row r="217" spans="1:3" x14ac:dyDescent="0.25">
      <c r="A217" t="s">
        <v>812</v>
      </c>
      <c r="B217" t="s">
        <v>336</v>
      </c>
      <c r="C217" t="s">
        <v>338</v>
      </c>
    </row>
    <row r="218" spans="1:3" x14ac:dyDescent="0.25">
      <c r="A218" t="s">
        <v>812</v>
      </c>
      <c r="B218" t="s">
        <v>409</v>
      </c>
      <c r="C218" t="s">
        <v>411</v>
      </c>
    </row>
    <row r="219" spans="1:3" x14ac:dyDescent="0.25">
      <c r="A219" t="s">
        <v>812</v>
      </c>
      <c r="B219" t="s">
        <v>333</v>
      </c>
      <c r="C219" t="s">
        <v>335</v>
      </c>
    </row>
    <row r="220" spans="1:3" x14ac:dyDescent="0.25">
      <c r="A220" t="s">
        <v>812</v>
      </c>
      <c r="B220" t="s">
        <v>422</v>
      </c>
      <c r="C220" t="s">
        <v>423</v>
      </c>
    </row>
    <row r="221" spans="1:3" x14ac:dyDescent="0.25">
      <c r="A221" t="s">
        <v>812</v>
      </c>
      <c r="B221" t="s">
        <v>368</v>
      </c>
      <c r="C221" t="s">
        <v>369</v>
      </c>
    </row>
    <row r="222" spans="1:3" x14ac:dyDescent="0.25">
      <c r="A222" t="s">
        <v>812</v>
      </c>
      <c r="B222" t="s">
        <v>317</v>
      </c>
      <c r="C222" t="s">
        <v>318</v>
      </c>
    </row>
    <row r="223" spans="1:3" x14ac:dyDescent="0.25">
      <c r="A223" t="s">
        <v>812</v>
      </c>
      <c r="B223" t="s">
        <v>289</v>
      </c>
    </row>
    <row r="224" spans="1:3" x14ac:dyDescent="0.25">
      <c r="A224" t="s">
        <v>812</v>
      </c>
      <c r="B224" t="s">
        <v>397</v>
      </c>
      <c r="C224" t="s">
        <v>399</v>
      </c>
    </row>
    <row r="225" spans="1:3" x14ac:dyDescent="0.25">
      <c r="A225" t="s">
        <v>812</v>
      </c>
      <c r="B225" t="s">
        <v>328</v>
      </c>
      <c r="C225" t="s">
        <v>330</v>
      </c>
    </row>
    <row r="226" spans="1:3" x14ac:dyDescent="0.25">
      <c r="A226" t="s">
        <v>812</v>
      </c>
      <c r="B226" t="s">
        <v>331</v>
      </c>
    </row>
    <row r="227" spans="1:3" x14ac:dyDescent="0.25">
      <c r="A227" t="s">
        <v>812</v>
      </c>
      <c r="B227" t="s">
        <v>358</v>
      </c>
    </row>
    <row r="228" spans="1:3" x14ac:dyDescent="0.25">
      <c r="A228" t="s">
        <v>812</v>
      </c>
      <c r="B228" t="s">
        <v>353</v>
      </c>
    </row>
    <row r="229" spans="1:3" x14ac:dyDescent="0.25">
      <c r="A229" t="s">
        <v>812</v>
      </c>
      <c r="B229" t="s">
        <v>283</v>
      </c>
      <c r="C229" t="s">
        <v>285</v>
      </c>
    </row>
    <row r="230" spans="1:3" x14ac:dyDescent="0.25">
      <c r="A230" t="s">
        <v>812</v>
      </c>
      <c r="B230" t="s">
        <v>325</v>
      </c>
      <c r="C230" t="s">
        <v>327</v>
      </c>
    </row>
    <row r="231" spans="1:3" x14ac:dyDescent="0.25">
      <c r="A231" t="s">
        <v>812</v>
      </c>
      <c r="B231" t="s">
        <v>322</v>
      </c>
      <c r="C231" t="s">
        <v>324</v>
      </c>
    </row>
    <row r="232" spans="1:3" x14ac:dyDescent="0.25">
      <c r="A232" t="s">
        <v>812</v>
      </c>
      <c r="B232" t="s">
        <v>286</v>
      </c>
      <c r="C232" t="s">
        <v>288</v>
      </c>
    </row>
    <row r="233" spans="1:3" x14ac:dyDescent="0.25">
      <c r="A233" t="s">
        <v>812</v>
      </c>
      <c r="B233" t="s">
        <v>300</v>
      </c>
      <c r="C233" t="s">
        <v>302</v>
      </c>
    </row>
    <row r="234" spans="1:3" x14ac:dyDescent="0.25">
      <c r="A234" t="s">
        <v>812</v>
      </c>
      <c r="B234" t="s">
        <v>345</v>
      </c>
      <c r="C234" t="s">
        <v>347</v>
      </c>
    </row>
    <row r="235" spans="1:3" x14ac:dyDescent="0.25">
      <c r="A235" t="s">
        <v>813</v>
      </c>
      <c r="B235" t="s">
        <v>25</v>
      </c>
    </row>
    <row r="236" spans="1:3" x14ac:dyDescent="0.25">
      <c r="A236" t="s">
        <v>813</v>
      </c>
      <c r="B236" t="s">
        <v>22</v>
      </c>
      <c r="C236" t="s">
        <v>24</v>
      </c>
    </row>
    <row r="237" spans="1:3" x14ac:dyDescent="0.25">
      <c r="A237" t="s">
        <v>813</v>
      </c>
      <c r="B237" t="s">
        <v>27</v>
      </c>
      <c r="C237" t="s">
        <v>29</v>
      </c>
    </row>
    <row r="238" spans="1:3" x14ac:dyDescent="0.25">
      <c r="A238" t="s">
        <v>813</v>
      </c>
      <c r="B238" t="s">
        <v>16</v>
      </c>
      <c r="C238" t="s">
        <v>18</v>
      </c>
    </row>
    <row r="239" spans="1:3" x14ac:dyDescent="0.25">
      <c r="A239" t="s">
        <v>813</v>
      </c>
      <c r="B239" t="s">
        <v>19</v>
      </c>
      <c r="C239" t="s">
        <v>21</v>
      </c>
    </row>
    <row r="240" spans="1:3" x14ac:dyDescent="0.25">
      <c r="A240" t="s">
        <v>813</v>
      </c>
      <c r="B240" t="s">
        <v>308</v>
      </c>
      <c r="C240" t="s">
        <v>310</v>
      </c>
    </row>
    <row r="241" spans="1:3" x14ac:dyDescent="0.25">
      <c r="A241" t="s">
        <v>813</v>
      </c>
      <c r="B241" t="s">
        <v>463</v>
      </c>
    </row>
    <row r="242" spans="1:3" x14ac:dyDescent="0.25">
      <c r="A242" t="s">
        <v>813</v>
      </c>
      <c r="B242" t="s">
        <v>12</v>
      </c>
      <c r="C242" t="s">
        <v>14</v>
      </c>
    </row>
    <row r="243" spans="1:3" x14ac:dyDescent="0.25">
      <c r="A243" t="s">
        <v>813</v>
      </c>
      <c r="B243" t="s">
        <v>33</v>
      </c>
    </row>
    <row r="244" spans="1:3" x14ac:dyDescent="0.25">
      <c r="A244" t="s">
        <v>813</v>
      </c>
      <c r="B244" t="s">
        <v>65</v>
      </c>
      <c r="C244" t="s">
        <v>66</v>
      </c>
    </row>
    <row r="245" spans="1:3" x14ac:dyDescent="0.25">
      <c r="A245" t="s">
        <v>813</v>
      </c>
      <c r="B245" t="s">
        <v>30</v>
      </c>
      <c r="C245" t="s">
        <v>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D6F417E884A41A83B6F1C7568860B" ma:contentTypeVersion="10" ma:contentTypeDescription="Create a new document." ma:contentTypeScope="" ma:versionID="0f2da6cc44236738287214a45b60fba0">
  <xsd:schema xmlns:xsd="http://www.w3.org/2001/XMLSchema" xmlns:xs="http://www.w3.org/2001/XMLSchema" xmlns:p="http://schemas.microsoft.com/office/2006/metadata/properties" xmlns:ns2="9ff93b55-2ced-43b1-a58f-ac6f1cd860df" targetNamespace="http://schemas.microsoft.com/office/2006/metadata/properties" ma:root="true" ma:fieldsID="9aa786a5364f5edb4d6da9f7489ddaac" ns2:_="">
    <xsd:import namespace="9ff93b55-2ced-43b1-a58f-ac6f1cd860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93b55-2ced-43b1-a58f-ac6f1cd860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e7dc539-6503-43db-9aa4-d975770f8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93b55-2ced-43b1-a58f-ac6f1cd860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5E45D-530B-448C-80D4-4EE65EFF37F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1DA3FDD-3321-46FD-B15B-BAC7EEB548CA}"/>
</file>

<file path=customXml/itemProps3.xml><?xml version="1.0" encoding="utf-8"?>
<ds:datastoreItem xmlns:ds="http://schemas.openxmlformats.org/officeDocument/2006/customXml" ds:itemID="{68F37CBE-2C43-4DA5-B390-481D95BC9E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3F9600B-9A5B-4F8C-8C7E-908DBDA187C3}">
  <ds:schemaRefs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4f344c5e-02fa-4c38-8d75-b439dedb5a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</vt:lpstr>
      <vt:lpstr>Vacancies</vt:lpstr>
      <vt:lpstr>Fleet check Driver log</vt:lpstr>
    </vt:vector>
  </TitlesOfParts>
  <Manager/>
  <Company>ETEL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Woods</dc:creator>
  <cp:keywords/>
  <dc:description/>
  <cp:lastModifiedBy>Joseph Sagar</cp:lastModifiedBy>
  <cp:revision/>
  <dcterms:created xsi:type="dcterms:W3CDTF">2026-05-22T09:30:44Z</dcterms:created>
  <dcterms:modified xsi:type="dcterms:W3CDTF">2026-07-09T15:08:41Z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0x010100678D6F417E884A41A83B6F1C7568860B</vt:lpwstr>
  </property>
</Properties>
</file>